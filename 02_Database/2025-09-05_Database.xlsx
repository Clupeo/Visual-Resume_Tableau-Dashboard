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defaultThemeVersion="202300"/>
  <mc:AlternateContent xmlns:mc="http://schemas.openxmlformats.org/markup-compatibility/2006">
    <mc:Choice Requires="x15">
      <x15ac:absPath xmlns:x15ac="http://schemas.microsoft.com/office/spreadsheetml/2010/11/ac" url="/Users/cedric/Documents/13_Personal/131_Profile-and-Planning/01_Resume-and-Portfolio/02_Tableau-Dashboard/02_Database/"/>
    </mc:Choice>
  </mc:AlternateContent>
  <xr:revisionPtr revIDLastSave="0" documentId="13_ncr:1_{FA6E7BF6-DD45-0642-8C04-133DE66770AD}" xr6:coauthVersionLast="47" xr6:coauthVersionMax="47" xr10:uidLastSave="{00000000-0000-0000-0000-000000000000}"/>
  <bookViews>
    <workbookView xWindow="25600" yWindow="620" windowWidth="25620" windowHeight="28200" firstSheet="6" activeTab="12" xr2:uid="{52660A98-60EA-894E-A12F-88F737DC9EAD}"/>
  </bookViews>
  <sheets>
    <sheet name="person" sheetId="1" r:id="rId1"/>
    <sheet name="domain" sheetId="16" r:id="rId2"/>
    <sheet name="activity" sheetId="3" r:id="rId3"/>
    <sheet name="activity_domain" sheetId="15" r:id="rId4"/>
    <sheet name="certificates" sheetId="18" r:id="rId5"/>
    <sheet name="certificates_domain" sheetId="17" r:id="rId6"/>
    <sheet name="portfolio" sheetId="6" r:id="rId7"/>
    <sheet name="portfolio_domain" sheetId="13" r:id="rId8"/>
    <sheet name="skills" sheetId="11" r:id="rId9"/>
    <sheet name="person_skills" sheetId="12" r:id="rId10"/>
    <sheet name="portfolio_skills" sheetId="8" r:id="rId11"/>
    <sheet name="tools" sheetId="4" r:id="rId12"/>
    <sheet name="person_tools" sheetId="9" r:id="rId13"/>
    <sheet name="portfolio_tools" sheetId="7" r:id="rId14"/>
    <sheet name="languages" sheetId="5" r:id="rId15"/>
    <sheet name="person_languages" sheetId="10" r:id="rId16"/>
    <sheet name="languages_proficiency" sheetId="14"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1" l="1"/>
  <c r="E26" i="4"/>
  <c r="E27" i="4"/>
  <c r="E28" i="4"/>
  <c r="E29" i="4"/>
  <c r="E30" i="4"/>
  <c r="E31" i="4"/>
  <c r="E32" i="4"/>
  <c r="E33" i="4"/>
  <c r="E34" i="4"/>
  <c r="E35" i="4"/>
  <c r="E3" i="4"/>
  <c r="E4" i="4"/>
  <c r="E5" i="4"/>
  <c r="E6" i="4"/>
  <c r="E7" i="4"/>
  <c r="E8" i="4"/>
  <c r="E9" i="4"/>
  <c r="E10" i="4"/>
  <c r="E11" i="4"/>
  <c r="E12" i="4"/>
  <c r="E13" i="4"/>
  <c r="E14" i="4"/>
  <c r="E15" i="4"/>
  <c r="E16" i="4"/>
  <c r="E17" i="4"/>
  <c r="E18" i="4"/>
  <c r="E19" i="4"/>
  <c r="E20" i="4"/>
  <c r="E21" i="4"/>
  <c r="E22" i="4"/>
  <c r="E23" i="4"/>
  <c r="E24" i="4"/>
  <c r="E25" i="4"/>
  <c r="E2" i="4"/>
  <c r="E17" i="11"/>
  <c r="E18" i="11"/>
  <c r="E20" i="11"/>
  <c r="E19" i="11"/>
  <c r="E22" i="11"/>
  <c r="E21" i="11"/>
  <c r="E6" i="11"/>
  <c r="E16" i="11"/>
  <c r="E5" i="11"/>
  <c r="E8" i="11"/>
  <c r="E15" i="11"/>
  <c r="E7" i="11"/>
  <c r="E10" i="11"/>
  <c r="E4" i="11"/>
  <c r="E23" i="11"/>
  <c r="E2" i="11"/>
  <c r="E3" i="11"/>
  <c r="E11" i="11"/>
  <c r="E13" i="11"/>
  <c r="E14" i="11"/>
  <c r="E24" i="11"/>
  <c r="E9" i="11"/>
  <c r="E12" i="11"/>
</calcChain>
</file>

<file path=xl/sharedStrings.xml><?xml version="1.0" encoding="utf-8"?>
<sst xmlns="http://schemas.openxmlformats.org/spreadsheetml/2006/main" count="436" uniqueCount="309">
  <si>
    <t>Graduation</t>
  </si>
  <si>
    <t>Ernst-Barlach-Gymnasium</t>
  </si>
  <si>
    <t>Education</t>
  </si>
  <si>
    <t>Evan Hardy Collegiate</t>
  </si>
  <si>
    <t>Grundschule Dänischenhagen</t>
  </si>
  <si>
    <t>Schulstraße 13, 24229 Dänischenhagen, Germany</t>
  </si>
  <si>
    <t>Charles-Ross-Ring 53-55, 24106 Kiel, Germany</t>
  </si>
  <si>
    <t>605 Acadia Drive, S7H 3V8 Saskatoon, Canada</t>
  </si>
  <si>
    <t>Kiel University</t>
  </si>
  <si>
    <t>Am Botanischen Garten 5-9, 24118 Kiel, Germany</t>
  </si>
  <si>
    <t>Life Sciences</t>
  </si>
  <si>
    <t>CECAD Aging Research</t>
  </si>
  <si>
    <t>Joseph-Stelzmann-Straße 26, 50931 Cologne, Germany</t>
  </si>
  <si>
    <t>Aarhus University</t>
  </si>
  <si>
    <t>Astrobiology</t>
  </si>
  <si>
    <t>Ny Munkegade 116, 8000 Aarhus C, Denmark</t>
  </si>
  <si>
    <t>Student Assistent</t>
  </si>
  <si>
    <t>Biological-Technical Assistant</t>
  </si>
  <si>
    <t>Research Assistant</t>
  </si>
  <si>
    <t>Impact Cluster GmbH</t>
  </si>
  <si>
    <t>Tölckestraße 20, 44227 Dortmund, Germany</t>
  </si>
  <si>
    <t>Lecturer</t>
  </si>
  <si>
    <t>University of Applied Sciences Flensburg</t>
  </si>
  <si>
    <t>Kanzleistraße 91-93, 24943 Flensburg, Germany</t>
  </si>
  <si>
    <t>Saskatoon Golf &amp; Country Club</t>
  </si>
  <si>
    <t>865 Cartwright St. W, S7T 1B1 Saskatoon, Canada</t>
  </si>
  <si>
    <t>Dishwasher</t>
  </si>
  <si>
    <t>Managed the cultivation and maintenance of plant and root cultures, ensuring optimal growth conditions, accurate documentation, and compliance with experimental protocols.</t>
  </si>
  <si>
    <t>Oversaw the cultivation of plant and root cultures and conducted experimental monitoring of CRISPR-Cas9 expression systems, ensuring precision in gene-editing procedures and reproducibility of results.</t>
  </si>
  <si>
    <t>Relevant academic training included advanced laboratory techniques and methods, as well as the study of biotechnological diversity and the blue bioeconomy.</t>
  </si>
  <si>
    <t>Serve as network manager for federally funded innovation networks under the Central Innovation Programme for SMEs (ZIM). Facilitate collaborative research and development between small and medium-sized enterprises and research institutions, with responsibilities including strategic innovation management, acquisition of funding, and coordination of partnerships. Contribute to the development of sustainable technologies and their integration into international markets.</t>
  </si>
  <si>
    <t>Delivered lectures in molecular biology to final-year B.Sc. students, developed and presented course content, and conducted examinations to assess student learning outcomes.</t>
  </si>
  <si>
    <t>Participated in a Work &amp; Travel program, gaining intercultural experience, adaptability and resilience through employment in the hospitality sector.</t>
  </si>
  <si>
    <t>German</t>
  </si>
  <si>
    <t>English</t>
  </si>
  <si>
    <t>Danish</t>
  </si>
  <si>
    <t>Swedish</t>
  </si>
  <si>
    <t>French</t>
  </si>
  <si>
    <t>R</t>
  </si>
  <si>
    <t>Python</t>
  </si>
  <si>
    <t>C#</t>
  </si>
  <si>
    <t>C++</t>
  </si>
  <si>
    <t>C</t>
  </si>
  <si>
    <t>Ruby</t>
  </si>
  <si>
    <t>Visual Studio Code</t>
  </si>
  <si>
    <t>Rstudio</t>
  </si>
  <si>
    <t>Characterization of floc-forming, fast-sedimenting microalgae-bacteria consortia used for low-cost biomass harvesting in chemostatic bioreactors</t>
  </si>
  <si>
    <t>https://doi.org/10.21203/rs.3.rs-6327003/v1</t>
  </si>
  <si>
    <t>Physiologic manipulation of microalgae-bacteria consortia: chances and limitations</t>
  </si>
  <si>
    <t>Biofilm-driven flocculation in microalgae-bacteria consortia: Mechanisms and biotechnological implications</t>
  </si>
  <si>
    <t>Data Visualization</t>
  </si>
  <si>
    <t>Problem Solving</t>
  </si>
  <si>
    <t>Communication</t>
  </si>
  <si>
    <t>Leadership</t>
  </si>
  <si>
    <t>Adaptability</t>
  </si>
  <si>
    <t>Teaching &amp; Mentoring</t>
  </si>
  <si>
    <t>Scientific Research</t>
  </si>
  <si>
    <t>Statistical Modelling</t>
  </si>
  <si>
    <t>Power BI</t>
  </si>
  <si>
    <t>Project Management</t>
  </si>
  <si>
    <t>Jira</t>
  </si>
  <si>
    <t>Confluence</t>
  </si>
  <si>
    <t>Blender</t>
  </si>
  <si>
    <t>Soft Skill</t>
  </si>
  <si>
    <t>Native</t>
  </si>
  <si>
    <t>Fluent</t>
  </si>
  <si>
    <t>Intermediate</t>
  </si>
  <si>
    <t>Beginner</t>
  </si>
  <si>
    <t>Doctoral Thesis</t>
  </si>
  <si>
    <t>Investigation of microalgae-bacteria interactions for sustainable bioremediation</t>
  </si>
  <si>
    <t>Interplay of the central carbon cycle and photosynthetic electron transport in Synechocystis</t>
  </si>
  <si>
    <t>Investigation of enzymes involved in pyrrolizidine alkaloid biosynthesis using the hairy root system</t>
  </si>
  <si>
    <t>Paper I</t>
  </si>
  <si>
    <t>Paper II</t>
  </si>
  <si>
    <t>Paper III</t>
  </si>
  <si>
    <t>Dashboard visualising PhD thesis data</t>
  </si>
  <si>
    <t>Dashboard visualising a sustainable theme</t>
  </si>
  <si>
    <t>https://macau.uni-kiel.de/receive/macau_mods_00005694</t>
  </si>
  <si>
    <t>https://futuresowlution.com/</t>
  </si>
  <si>
    <t>https://www.innovation2drivetrain.com/</t>
  </si>
  <si>
    <t>Funding Consulting</t>
  </si>
  <si>
    <t>Critical Thinking</t>
  </si>
  <si>
    <t>Grant Writing</t>
  </si>
  <si>
    <t>General</t>
  </si>
  <si>
    <t>Microbial Cultivation</t>
  </si>
  <si>
    <t>Biophysical Measurements</t>
  </si>
  <si>
    <t>JavaScript</t>
  </si>
  <si>
    <t>Tableau</t>
  </si>
  <si>
    <t>Unity</t>
  </si>
  <si>
    <t>Development</t>
  </si>
  <si>
    <t>Godot</t>
  </si>
  <si>
    <t>Confocal Laser Scanning Microscope</t>
  </si>
  <si>
    <t>Lab Instrument</t>
  </si>
  <si>
    <t>Scanning Electron Microscope</t>
  </si>
  <si>
    <t>Bioanalyzer</t>
  </si>
  <si>
    <t>Zeta Potential Analyzer</t>
  </si>
  <si>
    <t>Particle Size Analyzer</t>
  </si>
  <si>
    <t>Other</t>
  </si>
  <si>
    <t>Flow Camera</t>
  </si>
  <si>
    <t>Brightfield Microscope</t>
  </si>
  <si>
    <t>Dr.</t>
  </si>
  <si>
    <t>Cedric</t>
  </si>
  <si>
    <t>Hering-Peter</t>
  </si>
  <si>
    <t>person_id</t>
  </si>
  <si>
    <t>title</t>
  </si>
  <si>
    <t>first_name</t>
  </si>
  <si>
    <t>last_name</t>
  </si>
  <si>
    <t>location</t>
  </si>
  <si>
    <t>birth_date</t>
  </si>
  <si>
    <t>start_date</t>
  </si>
  <si>
    <t>end_date</t>
  </si>
  <si>
    <t>organization</t>
  </si>
  <si>
    <t>description</t>
  </si>
  <si>
    <t>portfolio_id</t>
  </si>
  <si>
    <t>link</t>
  </si>
  <si>
    <t>skill_id</t>
  </si>
  <si>
    <t>category</t>
  </si>
  <si>
    <t>proficiency_level</t>
  </si>
  <si>
    <t>tool_id</t>
  </si>
  <si>
    <t>language_id</t>
  </si>
  <si>
    <t>language_name</t>
  </si>
  <si>
    <t>proficiency_id</t>
  </si>
  <si>
    <t>proficiency_name</t>
  </si>
  <si>
    <t>Bachelor's Degree in Biology</t>
  </si>
  <si>
    <t>Master's Degree in Biology</t>
  </si>
  <si>
    <t>Doctorate in Biology</t>
  </si>
  <si>
    <t>ERASMUS Internship</t>
  </si>
  <si>
    <t>Molecular Biology</t>
  </si>
  <si>
    <t>Microscopy</t>
  </si>
  <si>
    <t>Biochemistry</t>
  </si>
  <si>
    <t>Bioinformatics</t>
  </si>
  <si>
    <t>Data Analysis</t>
  </si>
  <si>
    <t>domain_id</t>
  </si>
  <si>
    <t>Here i learned</t>
  </si>
  <si>
    <t>Here I developed</t>
  </si>
  <si>
    <t>Here I Teached</t>
  </si>
  <si>
    <t>Here I don't know</t>
  </si>
  <si>
    <t>activity_id</t>
  </si>
  <si>
    <t>name</t>
  </si>
  <si>
    <t>Bioreactor Systems</t>
  </si>
  <si>
    <t>Biologist</t>
  </si>
  <si>
    <t>Game Developer</t>
  </si>
  <si>
    <t>Data Scientist</t>
  </si>
  <si>
    <t>Academic Lecturer</t>
  </si>
  <si>
    <t>subtitle</t>
  </si>
  <si>
    <t>Funding Consultant</t>
  </si>
  <si>
    <t>My journey into data science taught me how to translate raw data into actionable insights. From statistical modeling to visualization, I learned how to use various tools. Combining technical skills with storytelling allows me to uncover patterns, support decisions and communicate results effectively.</t>
  </si>
  <si>
    <t>Working with SMEs and research institutions taught me how to navigate funding landscapes and bring together different partners to work towards shared goals. I developed strategic innovation skills, learned to transform ideas into structured projects and shaped R&amp;D networks that drive progressive technologies.</t>
  </si>
  <si>
    <t>I thrive at the intersection of science, innovation and data. My path taught me to adapt quickly, communicate effectively and create impact in diverse contexts. Along the way, I learned to shape projects strategically and make complex information accessible through clear visualization and storytelling.</t>
  </si>
  <si>
    <t>Schleswig-Holstein</t>
  </si>
  <si>
    <t>Germany</t>
  </si>
  <si>
    <t>province</t>
  </si>
  <si>
    <t>country</t>
  </si>
  <si>
    <t>city</t>
  </si>
  <si>
    <t>Flensburg</t>
  </si>
  <si>
    <t>https://www.impact-cluster.de/</t>
  </si>
  <si>
    <t>Curriculum Vitae</t>
  </si>
  <si>
    <t>Microalgae-Bacteria Consortia</t>
  </si>
  <si>
    <t>Customer Directory</t>
  </si>
  <si>
    <t>Sustainability Theme</t>
  </si>
  <si>
    <t>certificate_id</t>
  </si>
  <si>
    <t>https://public.tableau.com/app/profile/cedric.hering.peter/viz/CV-Dashboard_17551211549430/Resume_0_4?publish=yes</t>
  </si>
  <si>
    <t>status</t>
  </si>
  <si>
    <t>public</t>
  </si>
  <si>
    <t>private</t>
  </si>
  <si>
    <t>Basic Sailing License</t>
  </si>
  <si>
    <t>C and C++ Programming</t>
  </si>
  <si>
    <t>issue_date</t>
  </si>
  <si>
    <t>place</t>
  </si>
  <si>
    <t>CAMP 24/7 Kiel</t>
  </si>
  <si>
    <t>Ernst-Barlach-Gymnasium Kiel</t>
  </si>
  <si>
    <t>CAU Kiel</t>
  </si>
  <si>
    <t>Swedish A1 Course</t>
  </si>
  <si>
    <t>Bachelor's Degree</t>
  </si>
  <si>
    <t>First Aid in Companies</t>
  </si>
  <si>
    <t>Letter of Recommendation</t>
  </si>
  <si>
    <t>Doctorate's Degree</t>
  </si>
  <si>
    <t>Master's Degree</t>
  </si>
  <si>
    <t>First Aid for Children</t>
  </si>
  <si>
    <t>R Programming</t>
  </si>
  <si>
    <t>Jira and Confluence</t>
  </si>
  <si>
    <t>Leadership Seminar</t>
  </si>
  <si>
    <t>Slide Writing</t>
  </si>
  <si>
    <t>Thesis Writing</t>
  </si>
  <si>
    <t>Economics Basics</t>
  </si>
  <si>
    <t>PostgreSQL</t>
  </si>
  <si>
    <t>Bridging research, business and data</t>
  </si>
  <si>
    <t>#Collaboration #Innovation #Insights</t>
  </si>
  <si>
    <t>#Innovation #FundingStrategy #ProjectManagement</t>
  </si>
  <si>
    <t>#DataScience #Insights #Visualization</t>
  </si>
  <si>
    <t>#Science #Microalgae #Sustainability</t>
  </si>
  <si>
    <t>Through academic research, I learned to explore complex biological systems with creativity and persistence. Investigating microorganismic interactions sharpened my skills in problem-solving, experimental design and data analysis  - insights that I now apply beyond the lab to innovation and sustainability.</t>
  </si>
  <si>
    <t>hashtags</t>
  </si>
  <si>
    <t>BI &amp; Visualization</t>
  </si>
  <si>
    <t>Technical Skill</t>
  </si>
  <si>
    <t>Laboratory Skill</t>
  </si>
  <si>
    <t>Client Relations</t>
  </si>
  <si>
    <t>MySQL</t>
  </si>
  <si>
    <t>Productivity</t>
  </si>
  <si>
    <t>Programming</t>
  </si>
  <si>
    <t>Data Management</t>
  </si>
  <si>
    <t>Storytelling</t>
  </si>
  <si>
    <t>GitHub</t>
  </si>
  <si>
    <t>Financial Planning</t>
  </si>
  <si>
    <t>EndNote</t>
  </si>
  <si>
    <t>tidyverse, ggplot2, dplyr, dada2</t>
  </si>
  <si>
    <t>pandas, scikit-learn, matplotlib, seaborn, numpy</t>
  </si>
  <si>
    <t>design, querying, data normalization</t>
  </si>
  <si>
    <t>unity game engine scripting, application logic</t>
  </si>
  <si>
    <t>scientific simulations</t>
  </si>
  <si>
    <t>game devlopment, scientific simulations</t>
  </si>
  <si>
    <t>introductory scripting</t>
  </si>
  <si>
    <t>dashboard creation, power query data transformation</t>
  </si>
  <si>
    <t>dashboard creation</t>
  </si>
  <si>
    <t>react</t>
  </si>
  <si>
    <t>documentation, report writing, template creation</t>
  </si>
  <si>
    <t>data cleaning, pivot tabels, advanced formulas, chart creation</t>
  </si>
  <si>
    <t>science communication, networking events</t>
  </si>
  <si>
    <t>game prototyping, 3D visualization, UI development</t>
  </si>
  <si>
    <t>3D modeling, animation, geometry nodes</t>
  </si>
  <si>
    <t>R programming, analysis, visualization</t>
  </si>
  <si>
    <t>version controlling, repository management, collaboration</t>
  </si>
  <si>
    <t>literature management, citation organization, research documentation</t>
  </si>
  <si>
    <t>agile task management, project tracking, documentation</t>
  </si>
  <si>
    <t>knowledge base creation, meeting documentation, collaboration</t>
  </si>
  <si>
    <t>project management, collaboration</t>
  </si>
  <si>
    <t>imaging, imageJ, fiji</t>
  </si>
  <si>
    <t>fluorescence &amp; z-stack imaging</t>
  </si>
  <si>
    <t>surface morphology analysis</t>
  </si>
  <si>
    <t>molecular analysis</t>
  </si>
  <si>
    <t>nucleic acid amplification</t>
  </si>
  <si>
    <t>Electrophoresis</t>
  </si>
  <si>
    <t>Polymerase Chain Reaction</t>
  </si>
  <si>
    <t>nucleic acid &amp; protein separation</t>
  </si>
  <si>
    <t>surface charge measurement</t>
  </si>
  <si>
    <t>particle size distribution</t>
  </si>
  <si>
    <t>microalgae cultivation, process parameter optimization</t>
  </si>
  <si>
    <t>real-time particle imaging</t>
  </si>
  <si>
    <t>processing, cleaning, interpreting</t>
  </si>
  <si>
    <t>analystical reasoning, hypothesis-driven experimentation, troubleshooting</t>
  </si>
  <si>
    <t>planning, scheduling, coordination</t>
  </si>
  <si>
    <t>transition between diverse disciplines</t>
  </si>
  <si>
    <t>developing funding applications</t>
  </si>
  <si>
    <t>translating data into visuals</t>
  </si>
  <si>
    <t>discussions in academic &amp; industry settings</t>
  </si>
  <si>
    <t>managing partnerships, mentoring students</t>
  </si>
  <si>
    <t>lecturing in molecular biology, mentoring students</t>
  </si>
  <si>
    <t>designing experiments, analyzing results, publication</t>
  </si>
  <si>
    <t>finding R&amp;D strategies for SMEs</t>
  </si>
  <si>
    <t>ANOVA, PCA, regression</t>
  </si>
  <si>
    <t>communicating insights through data narratives</t>
  </si>
  <si>
    <t>understanding and translating needs of SMEs into funded projects</t>
  </si>
  <si>
    <t>strain cultivation of plants, microalgae, bacteria and fungi</t>
  </si>
  <si>
    <t>PCR, cloning, gene expression</t>
  </si>
  <si>
    <t>brightfield, confocal &amp; electron microscopy</t>
  </si>
  <si>
    <t>metagenomics, sequence analysis</t>
  </si>
  <si>
    <t>protein assays, biochemical pathway studies</t>
  </si>
  <si>
    <t>optical density, zeta potential, size distribution</t>
  </si>
  <si>
    <t>structuring &amp; maintaining large datasets, data integrity</t>
  </si>
  <si>
    <t>budgeting, cost analysis</t>
  </si>
  <si>
    <t>Strategic innovation management and funding acquisition for SME collaboration</t>
  </si>
  <si>
    <t>Dashboard visualising the author's resume</t>
  </si>
  <si>
    <t>Dashboard visualising customer directory of Impact Cluster GmbH</t>
  </si>
  <si>
    <t>R&amp;D Network with focus on innovative approaches in the field of highly efficient electric drives and their use in cutting-edge applications.</t>
  </si>
  <si>
    <t>R&amp;D Network with focus on “green growth”, considering the development of suitable plant bases, technical or chemical solutions for seed sowing, harvesting and the utilization of any resulting waste materials.</t>
  </si>
  <si>
    <t>Udemy (Online Course)</t>
  </si>
  <si>
    <t>CAU Kiel Graduate Center</t>
  </si>
  <si>
    <t>project occurance</t>
  </si>
  <si>
    <t>evidence-based conclusions</t>
  </si>
  <si>
    <t>Innovation needs a good architect</t>
  </si>
  <si>
    <t>Where biology inspires technology</t>
  </si>
  <si>
    <t>Graphs say more than a thousand words</t>
  </si>
  <si>
    <t>Bachelor's Thesis</t>
  </si>
  <si>
    <t>Master's Thesis</t>
  </si>
  <si>
    <t>ZIM-Network for Green Growth</t>
  </si>
  <si>
    <t>ZIM-Network for Electric Drives</t>
  </si>
  <si>
    <t>R&amp;D Funding Services</t>
  </si>
  <si>
    <t>image</t>
  </si>
  <si>
    <t>2004-06-18_CAMP-24-Sieben_Basic-Sailing-License.jpg</t>
  </si>
  <si>
    <t>2013-05-28_Ernst-Barlach-Gymnasium_Graduation.jpg</t>
  </si>
  <si>
    <t>2016-03-18_CAU-Kiel_C-Programming.jpg</t>
  </si>
  <si>
    <t>2016-10-25_CAU-Kiel_Swedish-A1.jpg</t>
  </si>
  <si>
    <t>2018-04-09_CAU-Kiel_Bachelor-Of-Science.jpg</t>
  </si>
  <si>
    <t>2019-08-28_CAU-Kiel_First-Aid-in-Companies.jpg</t>
  </si>
  <si>
    <t>2021-03-01_CAU-Kiel_Letter-of-Recommendation.jpg</t>
  </si>
  <si>
    <t>2021-04-15_CAU-Kiel_Master-Of-Science.jpg</t>
  </si>
  <si>
    <t>2021-06-28_CAU-Kiel_First-Aid-for-Children.jpg</t>
  </si>
  <si>
    <t>2021-09-01_Udemy_R-Programming.jpg</t>
  </si>
  <si>
    <t>2023-08-11_Udemy_Jira-and-Confluence.jpg</t>
  </si>
  <si>
    <t>2023-12-13_Graduate-Center_Leadership-Seminar.jpg</t>
  </si>
  <si>
    <t>2024-05-29_Graduate-Center_Slide-Writing.jpg</t>
  </si>
  <si>
    <t>2024-07-19_Graduate-Center_Thesis-Writing.jpg</t>
  </si>
  <si>
    <t>2025-03-25_CAU-Kiel_Doctorate-Degree.jpg</t>
  </si>
  <si>
    <t>2025-05-28_Graduate-Center_Economics-Basics.jpg</t>
  </si>
  <si>
    <t>2025-05-28_Udemy_PostgreSQL.jpg</t>
  </si>
  <si>
    <t>2025-07-29_Udemy_Data-Analysis.jpg</t>
  </si>
  <si>
    <t>Generative AI with Python</t>
  </si>
  <si>
    <t>Gollnick Data Solutions GmbH</t>
  </si>
  <si>
    <t>2026-03-27_Gollnick-Data-Solutions_Gen-AI-with-Python.jpg</t>
  </si>
  <si>
    <t>R&amp;D Network with focus on innovation in blue bioeconomy regarding wastewater cleaning, residual waste removal and new feed productions.</t>
  </si>
  <si>
    <t>AI Handling</t>
  </si>
  <si>
    <t>prompt engineering, LLM workflows, agentic coding</t>
  </si>
  <si>
    <t>MS PowerPoint</t>
  </si>
  <si>
    <t>Trello | MS Planner</t>
  </si>
  <si>
    <t>MS Excel</t>
  </si>
  <si>
    <t>MS Word</t>
  </si>
  <si>
    <t>Agentic coding, python &amp; C# programming, jupyter notebook</t>
  </si>
  <si>
    <t>Data Analysis (SQL, BI &amp; Excel)</t>
  </si>
  <si>
    <t>ZIM-Network for    Bioeconomy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</si>
</sst>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7" x14ac:knownFonts="1">
    <font>
      <sz val="12"/>
      <color theme="1"/>
      <name val="Aptos Narrow"/>
      <family val="2"/>
      <scheme val="minor"/>
    </font>
    <font>
      <sz val="12"/>
      <color rgb="FF000000"/>
      <name val="Aptos Narrow"/>
      <family val="2"/>
      <scheme val="minor"/>
    </font>
    <font>
      <b/>
      <sz val="12"/>
      <color theme="1"/>
      <name val="Aptos Narrow"/>
      <family val="2"/>
      <scheme val="minor"/>
    </font>
    <font>
      <sz val="8"/>
      <name val="Aptos Narrow"/>
      <family val="2"/>
      <scheme val="minor"/>
    </font>
    <font>
      <u/>
      <sz val="12"/>
      <color theme="10"/>
      <name val="Aptos Narrow"/>
      <family val="2"/>
      <scheme val="minor"/>
    </font>
    <font>
      <b/>
      <sz val="12"/>
      <color theme="0"/>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C0E6F5"/>
        <bgColor rgb="FFC0E6F5"/>
      </patternFill>
    </fill>
    <fill>
      <patternFill patternType="solid">
        <fgColor theme="4" tint="0.79998168889431442"/>
        <bgColor theme="4" tint="0.79998168889431442"/>
      </patternFill>
    </fill>
    <fill>
      <patternFill patternType="solid">
        <fgColor theme="4"/>
        <bgColor theme="4"/>
      </patternFill>
    </fill>
  </fills>
  <borders count="12">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rgb="FF44B3E1"/>
      </right>
      <top style="thin">
        <color rgb="FF44B3E1"/>
      </top>
      <bottom style="thin">
        <color rgb="FF44B3E1"/>
      </bottom>
      <diagonal/>
    </border>
  </borders>
  <cellStyleXfs count="3">
    <xf numFmtId="0" fontId="0" fillId="0" borderId="0"/>
    <xf numFmtId="0" fontId="4" fillId="0" borderId="0" applyNumberFormat="0" applyFill="0" applyBorder="0" applyAlignment="0" applyProtection="0"/>
    <xf numFmtId="9" fontId="6" fillId="0" borderId="0" applyFont="0" applyFill="0" applyBorder="0" applyAlignment="0" applyProtection="0"/>
  </cellStyleXfs>
  <cellXfs count="34">
    <xf numFmtId="0" fontId="0" fillId="0" borderId="0" xfId="0"/>
    <xf numFmtId="0" fontId="1" fillId="2" borderId="2" xfId="0" applyFont="1" applyFill="1" applyBorder="1"/>
    <xf numFmtId="0" fontId="1" fillId="2" borderId="3" xfId="0" applyFont="1" applyFill="1" applyBorder="1"/>
    <xf numFmtId="0" fontId="1" fillId="0" borderId="2" xfId="0" applyFont="1" applyBorder="1"/>
    <xf numFmtId="164" fontId="0" fillId="0" borderId="0" xfId="0" applyNumberFormat="1"/>
    <xf numFmtId="164" fontId="1" fillId="0" borderId="2" xfId="0" applyNumberFormat="1" applyFont="1" applyBorder="1"/>
    <xf numFmtId="164" fontId="1" fillId="0" borderId="3" xfId="0" applyNumberFormat="1" applyFont="1" applyBorder="1"/>
    <xf numFmtId="0" fontId="1" fillId="2" borderId="0" xfId="0" applyFont="1" applyFill="1"/>
    <xf numFmtId="0" fontId="1" fillId="0" borderId="0" xfId="0" applyFont="1"/>
    <xf numFmtId="0" fontId="2" fillId="0" borderId="0" xfId="0" applyFont="1"/>
    <xf numFmtId="0" fontId="4" fillId="0" borderId="0" xfId="1"/>
    <xf numFmtId="0" fontId="0" fillId="3" borderId="4" xfId="0" applyFill="1" applyBorder="1"/>
    <xf numFmtId="0" fontId="0" fillId="3" borderId="5" xfId="0" applyFill="1" applyBorder="1"/>
    <xf numFmtId="0" fontId="0" fillId="0" borderId="4" xfId="0" applyBorder="1"/>
    <xf numFmtId="0" fontId="0" fillId="0" borderId="5" xfId="0" applyBorder="1"/>
    <xf numFmtId="0" fontId="0" fillId="3" borderId="1" xfId="0" applyFill="1" applyBorder="1"/>
    <xf numFmtId="0" fontId="0" fillId="0" borderId="1" xfId="0" applyBorder="1"/>
    <xf numFmtId="0" fontId="0" fillId="3" borderId="0" xfId="0" applyFill="1"/>
    <xf numFmtId="0" fontId="0" fillId="3" borderId="6" xfId="0" applyFill="1" applyBorder="1"/>
    <xf numFmtId="0" fontId="0" fillId="0" borderId="6" xfId="0" applyBorder="1"/>
    <xf numFmtId="0" fontId="0" fillId="0" borderId="8" xfId="0" applyBorder="1"/>
    <xf numFmtId="0" fontId="0" fillId="0" borderId="9" xfId="0" applyBorder="1"/>
    <xf numFmtId="0" fontId="0" fillId="0" borderId="3" xfId="0" applyBorder="1"/>
    <xf numFmtId="0" fontId="1" fillId="0" borderId="3" xfId="0" applyFont="1" applyBorder="1"/>
    <xf numFmtId="0" fontId="5" fillId="4" borderId="4" xfId="0" applyFont="1" applyFill="1" applyBorder="1"/>
    <xf numFmtId="0" fontId="5" fillId="4" borderId="5" xfId="0" applyFont="1" applyFill="1" applyBorder="1"/>
    <xf numFmtId="0" fontId="1" fillId="2" borderId="11" xfId="0" applyFont="1" applyFill="1" applyBorder="1"/>
    <xf numFmtId="0" fontId="0" fillId="3" borderId="8" xfId="0" applyFill="1" applyBorder="1"/>
    <xf numFmtId="14" fontId="0" fillId="0" borderId="0" xfId="0" applyNumberFormat="1"/>
    <xf numFmtId="0" fontId="0" fillId="3" borderId="7" xfId="0" applyFill="1" applyBorder="1"/>
    <xf numFmtId="9" fontId="0" fillId="0" borderId="0" xfId="2" applyFont="1"/>
    <xf numFmtId="165" fontId="0" fillId="0" borderId="0" xfId="0" applyNumberFormat="1"/>
    <xf numFmtId="0" fontId="0" fillId="0" borderId="7" xfId="0" applyBorder="1"/>
    <xf numFmtId="0" fontId="0" fillId="0" borderId="10" xfId="0" applyBorder="1"/>
  </cellXfs>
  <cellStyles count="3">
    <cellStyle name="Hyperlink" xfId="1" builtinId="8"/>
    <cellStyle name="Normal" xfId="0" builtinId="0"/>
    <cellStyle name="Per cent" xfId="2" builtinId="5"/>
  </cellStyles>
  <dxfs count="10">
    <dxf>
      <numFmt numFmtId="164" formatCode="yyyy\-mm\-dd;@"/>
    </dxf>
    <dxf>
      <numFmt numFmtId="164" formatCode="yyyy\-mm\-dd;@"/>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numFmt numFmtId="164" formatCode="yyyy\-mm\-dd;@"/>
    </dxf>
    <dxf>
      <numFmt numFmtId="164" formatCode="yyyy\-mm\-dd;@"/>
    </dxf>
    <dxf>
      <numFmt numFmtId="164" formatCode="yyyy\-mm\-dd;@"/>
    </dxf>
    <dxf>
      <numFmt numFmtId="0" formatCode="General"/>
    </dxf>
    <dxf>
      <font>
        <b val="0"/>
        <i val="0"/>
        <strike val="0"/>
        <condense val="0"/>
        <extend val="0"/>
        <outline val="0"/>
        <shadow val="0"/>
        <u val="none"/>
        <vertAlign val="baseline"/>
        <sz val="12"/>
        <color theme="1"/>
        <name val="Aptos Narrow"/>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theme="4" tint="0.39997558519241921"/>
        </left>
        <right/>
        <top style="thin">
          <color theme="4" tint="0.39997558519241921"/>
        </top>
        <bottom style="thin">
          <color theme="4"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7F923B-7B23-7B4C-9250-DE534D0C77CD}" name="Table1" displayName="Table1" ref="A1:H2" totalsRowShown="0">
  <autoFilter ref="A1:H2" xr:uid="{9D7F923B-7B23-7B4C-9250-DE534D0C77CD}"/>
  <tableColumns count="8">
    <tableColumn id="1" xr3:uid="{60B9BDE2-8505-464B-922F-D796FBEFDBA8}" name="person_id"/>
    <tableColumn id="8" xr3:uid="{EF244F48-5D7D-1849-A5A5-EFB52CEE84E2}" name="title"/>
    <tableColumn id="2" xr3:uid="{5BEB6B06-7483-FF4F-810F-5649A2FBD651}" name="first_name"/>
    <tableColumn id="7" xr3:uid="{4C6FCC34-8E9B-2C4A-A990-A146287E1506}" name="last_name"/>
    <tableColumn id="6" xr3:uid="{08E97EF2-2A58-9142-81F6-5F4A1B6CAF2C}" name="city"/>
    <tableColumn id="5" xr3:uid="{831CB986-42F5-9D46-860A-8100DBA32197}" name="province"/>
    <tableColumn id="4" xr3:uid="{7564C2FC-BB92-7742-A00C-C96E922B28EF}" name="country"/>
    <tableColumn id="9" xr3:uid="{C61E8E18-A34B-F64D-911A-EB79E1C91129}" name="birth_date"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12A3E6-A794-8E47-9AF3-FB32B1D8D14F}" name="Table15" displayName="Table15" ref="A1:E9" totalsRowShown="0">
  <autoFilter ref="A1:E9" xr:uid="{BA12A3E6-A794-8E47-9AF3-FB32B1D8D14F}"/>
  <tableColumns count="5">
    <tableColumn id="1" xr3:uid="{4EEF4B75-F4DB-A54B-9A0F-BB24E992A2B2}" name="domain_id"/>
    <tableColumn id="2" xr3:uid="{C446EBEA-CF6C-E649-A1D7-2419204509C1}" name="name"/>
    <tableColumn id="4" xr3:uid="{FD4A6660-4FB1-6B45-AD0A-B35A9959201C}" name="subtitle"/>
    <tableColumn id="3" xr3:uid="{F23F8B96-20E4-4D46-9461-BE663D097CF0}" name="description"/>
    <tableColumn id="5" xr3:uid="{B1828AA8-5D0E-2249-8698-050C00D72B19}" name="hashtag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C0E1BB-2AE8-9145-B89F-3AC49800C450}" name="Table3" displayName="Table3" ref="A1:H15" totalsRowShown="0">
  <autoFilter ref="A1:H15" xr:uid="{1AC0E1BB-2AE8-9145-B89F-3AC49800C450}"/>
  <tableColumns count="8">
    <tableColumn id="1" xr3:uid="{E4E0FCCA-98B4-E040-8928-1E9DE10794BA}" name="activity_id"/>
    <tableColumn id="2" xr3:uid="{9DBE7BF6-2BAE-CE4F-8FFE-97FA67ED2209}" name="person_id"/>
    <tableColumn id="3" xr3:uid="{519CB3FD-482A-2B44-9C5A-9E797E3F98E4}" name="title"/>
    <tableColumn id="4" xr3:uid="{0DBFEBFC-D18A-6F4E-87F2-C8D4D16C7E2D}" name="organization"/>
    <tableColumn id="9" xr3:uid="{3E657E01-C34B-0B41-8B45-85D9AE50305B}" name="location"/>
    <tableColumn id="5" xr3:uid="{0E638BC4-2710-0C43-A1C1-191B65B559E5}" name="start_date" dataDxfId="4"/>
    <tableColumn id="6" xr3:uid="{B967E793-1F53-A448-B344-EC57AFC8844D}" name="end_date" dataDxfId="3"/>
    <tableColumn id="8" xr3:uid="{4B60B559-FFE2-0449-BD87-E423F2579CE2}"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DB993D-0CDD-3346-B634-A5B977627571}" name="Table14" displayName="Table14" ref="A1:B24" totalsRowShown="0">
  <autoFilter ref="A1:B24" xr:uid="{9EDB993D-0CDD-3346-B634-A5B977627571}"/>
  <tableColumns count="2">
    <tableColumn id="1" xr3:uid="{D1FF01A2-FC84-1441-97CB-D234B9FA64EA}" name="activity_id" dataDxfId="2"/>
    <tableColumn id="2" xr3:uid="{647E29E8-3B30-6747-952B-856B15C586DD}" name="domain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B559397-BB31-9D48-8FD3-B9D22DB535A0}" name="Table16" displayName="Table16" ref="A1:F20" totalsRowShown="0">
  <autoFilter ref="A1:F20" xr:uid="{DB559397-BB31-9D48-8FD3-B9D22DB535A0}"/>
  <tableColumns count="6">
    <tableColumn id="1" xr3:uid="{82CB3342-7561-314F-9C67-657C6E04E543}" name="certificate_id"/>
    <tableColumn id="5" xr3:uid="{BBCC2360-27F8-1140-89BF-81E5410E6BEE}" name="person_id"/>
    <tableColumn id="2" xr3:uid="{3357724F-1230-0646-83C2-B4646FB70754}" name="name"/>
    <tableColumn id="4" xr3:uid="{C2396636-9EA4-8040-B8D3-3D90FB820854}" name="place"/>
    <tableColumn id="3" xr3:uid="{CC48D8F1-9FBB-7D49-A409-98DC22C30AF6}" name="issue_date"/>
    <tableColumn id="6" xr3:uid="{A42E6AB6-80D7-2341-BAD3-4E2FC4FF3F05}" name="im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F68B62-CEBE-6546-949E-F98D282A2879}" name="Table2" displayName="Table2" ref="A1:B72" totalsRowShown="0">
  <autoFilter ref="A1:B72" xr:uid="{A1F68B62-CEBE-6546-949E-F98D282A2879}"/>
  <tableColumns count="2">
    <tableColumn id="1" xr3:uid="{A84E7ECA-C8B9-4943-A15E-09A98C9BCFBE}" name="certificate_id"/>
    <tableColumn id="2" xr3:uid="{E364EA32-FECF-2944-9614-C481D07B1732}" name="domain_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7B4302-5935-BB4F-91D0-28ACF6864A74}" name="Table6" displayName="Table6" ref="A1:H15" totalsRowShown="0">
  <autoFilter ref="A1:H15" xr:uid="{6C7B4302-5935-BB4F-91D0-28ACF6864A74}"/>
  <tableColumns count="8">
    <tableColumn id="5" xr3:uid="{922DEBD3-7386-D341-9049-6D37FC0CD05B}" name="portfolio_id"/>
    <tableColumn id="6" xr3:uid="{D37906CD-C2EB-8A40-AA51-891ADDD2F0F3}" name="person_id"/>
    <tableColumn id="8" xr3:uid="{912FC1CE-8929-A840-BCE1-17117B008FD3}" name="title"/>
    <tableColumn id="11" xr3:uid="{8675359A-ECB9-7944-B6E4-F8EFBA93E841}" name="description"/>
    <tableColumn id="15" xr3:uid="{CA3124FD-9F98-C74D-B3D4-70469E4BA6CD}" name="start_date" dataDxfId="1"/>
    <tableColumn id="14" xr3:uid="{B8D40936-6AA7-A74A-ACA0-517CCCC4CB7F}" name="end_date" dataDxfId="0"/>
    <tableColumn id="1" xr3:uid="{D859FDAD-79F9-EC41-ACD6-64B4107CA00A}" name="status"/>
    <tableColumn id="12" xr3:uid="{267EBF1D-F600-6746-8520-55E6EE075513}" name="lin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141A01-AFD3-C848-A9D6-B7449AF5C685}" name="Table714" displayName="Table714" ref="A1:B23" totalsRowShown="0">
  <autoFilter ref="A1:B23" xr:uid="{81141A01-AFD3-C848-A9D6-B7449AF5C685}"/>
  <tableColumns count="2">
    <tableColumn id="1" xr3:uid="{EB191FD4-4303-174D-A643-B9DDF3A291BE}" name="portfolio_id"/>
    <tableColumn id="2" xr3:uid="{19179C63-0D5E-4841-AAF8-F93681B1703E}" name="domain_i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565E25-C764-3143-AFFA-BCE408907871}" name="Table412" displayName="Table412" ref="A1:E25" totalsRowShown="0">
  <autoFilter ref="A1:E25" xr:uid="{D4D9EF09-F165-3445-9DF8-3380B4CE8578}"/>
  <sortState xmlns:xlrd2="http://schemas.microsoft.com/office/spreadsheetml/2017/richdata2" ref="A2:E25">
    <sortCondition ref="A1:A25"/>
  </sortState>
  <tableColumns count="5">
    <tableColumn id="1" xr3:uid="{DC3EED09-C75A-A540-B993-B2129AB8E714}" name="skill_id" dataDxfId="9"/>
    <tableColumn id="2" xr3:uid="{42FD44F0-B09F-0547-A986-21BFB4182840}" name="name" dataDxfId="8"/>
    <tableColumn id="3" xr3:uid="{210EF8DD-2CB7-914A-90FE-26900DEF4416}" name="category" dataDxfId="7"/>
    <tableColumn id="4" xr3:uid="{D6C18DDB-3DCD-4744-94D9-9336C79C3BDE}" name="description"/>
    <tableColumn id="5" xr3:uid="{3D69894F-FAB2-F24C-B720-564E0EBF08D7}" name="project occurance" dataDxfId="6">
      <calculatedColumnFormula>COUNTIF(Table8[skill_id],Table412[[#This Row],[skill_id]])</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AD25C77-43E5-DB4D-BFBA-E3C97FDA744F}" name="Table913" displayName="Table913" ref="A1:C25" totalsRowShown="0">
  <autoFilter ref="A1:C25" xr:uid="{CF8F687B-EE5F-C44C-BC54-A0EBA7BD1D0F}"/>
  <tableColumns count="3">
    <tableColumn id="1" xr3:uid="{33A0361B-07E2-FF48-8CB7-DC3C9AC56FB2}" name="person_id"/>
    <tableColumn id="2" xr3:uid="{A6316854-AD5D-7F41-98D4-16938B4ECC90}" name="skill_id"/>
    <tableColumn id="3" xr3:uid="{8D6F357B-B5DC-614D-ADE1-FC796A9BF0A6}" name="proficiency_leve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A382D8-61D8-844C-A457-95EAB096446A}" name="Table8" displayName="Table8" ref="A1:B156" totalsRowShown="0">
  <autoFilter ref="A1:B156" xr:uid="{DEA382D8-61D8-844C-A457-95EAB096446A}"/>
  <tableColumns count="2">
    <tableColumn id="1" xr3:uid="{05D161FC-81FA-D643-8CB1-172DCE26A4E3}" name="portfolio_id"/>
    <tableColumn id="2" xr3:uid="{C5E6A4B1-46AB-3840-B226-F474361FE659}" name="skill_i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D9EF09-F165-3445-9DF8-3380B4CE8578}" name="Table4" displayName="Table4" ref="A1:E35" totalsRowShown="0">
  <autoFilter ref="A1:E35" xr:uid="{D4D9EF09-F165-3445-9DF8-3380B4CE8578}">
    <filterColumn colId="4">
      <filters>
        <filter val="1"/>
        <filter val="13"/>
        <filter val="2"/>
        <filter val="4"/>
        <filter val="5"/>
        <filter val="6"/>
        <filter val="8"/>
      </filters>
    </filterColumn>
  </autoFilter>
  <sortState xmlns:xlrd2="http://schemas.microsoft.com/office/spreadsheetml/2017/richdata2" ref="A2:E35">
    <sortCondition ref="A1:A35"/>
  </sortState>
  <tableColumns count="5">
    <tableColumn id="1" xr3:uid="{9322AF04-06A6-7A4B-ADE9-7C818778F408}" name="tool_id"/>
    <tableColumn id="2" xr3:uid="{ED109F91-6525-6041-8EBB-023043C5731A}" name="name"/>
    <tableColumn id="3" xr3:uid="{A9ED79A6-606F-3B49-B27A-CA6E23786847}" name="category"/>
    <tableColumn id="5" xr3:uid="{43A488CD-EE4E-D84D-A416-730D5ACBD468}" name="description"/>
    <tableColumn id="4" xr3:uid="{1F96A067-5F7F-9944-B83D-DAD6F8490299}" name="project occurance">
      <calculatedColumnFormula>COUNTIF(Table7[tool_id],Table4[[#This Row],[tool_id]])</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8F687B-EE5F-C44C-BC54-A0EBA7BD1D0F}" name="Table9" displayName="Table9" ref="A1:C35" totalsRowShown="0">
  <autoFilter ref="A1:C35" xr:uid="{CF8F687B-EE5F-C44C-BC54-A0EBA7BD1D0F}"/>
  <tableColumns count="3">
    <tableColumn id="1" xr3:uid="{36CA1518-31C3-2C4E-9E65-D2E62113B101}" name="person_id"/>
    <tableColumn id="2" xr3:uid="{7163B45B-BAF7-A149-BBD9-D86966F3B602}" name="tool_id"/>
    <tableColumn id="3" xr3:uid="{C0077BFF-F346-F345-8BB5-F97A4473DF6C}" name="proficiency_level"/>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C66C47-1A74-1449-81CB-899D99C36111}" name="Table7" displayName="Table7" ref="A1:B112" totalsRowShown="0">
  <autoFilter ref="A1:B112" xr:uid="{DEC66C47-1A74-1449-81CB-899D99C36111}"/>
  <sortState xmlns:xlrd2="http://schemas.microsoft.com/office/spreadsheetml/2017/richdata2" ref="A2:B85">
    <sortCondition ref="A1:A85"/>
  </sortState>
  <tableColumns count="2">
    <tableColumn id="1" xr3:uid="{7CA8117F-2E85-9E49-B757-4786330C6DCC}" name="portfolio_id"/>
    <tableColumn id="2" xr3:uid="{59F6937F-E880-1A41-8DF7-5F2FCA7850D3}" name="tool_i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835E31-98EE-FE4C-AC07-4D614AFF2CDD}" name="Table5" displayName="Table5" ref="A1:B6" totalsRowShown="0">
  <autoFilter ref="A1:B6" xr:uid="{EE835E31-98EE-FE4C-AC07-4D614AFF2CDD}"/>
  <tableColumns count="2">
    <tableColumn id="1" xr3:uid="{4993CF5D-5EB9-B64B-9F21-AD0314CA5722}" name="language_id"/>
    <tableColumn id="2" xr3:uid="{B69B2494-CAA3-B34B-BE07-FEA409229961}" name="language_nam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0797B1-7196-0A4A-ACD5-ED7B3C4CE4F2}" name="Table10" displayName="Table10" ref="A1:C6" totalsRowShown="0">
  <autoFilter ref="A1:C6" xr:uid="{AB0797B1-7196-0A4A-ACD5-ED7B3C4CE4F2}"/>
  <tableColumns count="3">
    <tableColumn id="1" xr3:uid="{91F4F596-627B-6344-AE76-96E6A2A5A045}" name="person_id"/>
    <tableColumn id="2" xr3:uid="{EB30EC89-8718-7B45-97AE-37D8D04E48C5}" name="language_id"/>
    <tableColumn id="3" xr3:uid="{59839245-FFB3-D540-A33F-FC1F4CCE4D34}" name="proficiency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hyperlink" Target="https://futuresowlution.com/" TargetMode="External"/><Relationship Id="rId2" Type="http://schemas.openxmlformats.org/officeDocument/2006/relationships/hyperlink" Target="https://doi.org/10.21203/rs.3.rs-6327003/v1" TargetMode="External"/><Relationship Id="rId1" Type="http://schemas.openxmlformats.org/officeDocument/2006/relationships/hyperlink" Target="https://macau.uni-kiel.de/receive/macau_mods_00005694" TargetMode="External"/><Relationship Id="rId6" Type="http://schemas.openxmlformats.org/officeDocument/2006/relationships/table" Target="../tables/table7.xml"/><Relationship Id="rId5" Type="http://schemas.openxmlformats.org/officeDocument/2006/relationships/hyperlink" Target="https://www.impact-cluster.de/" TargetMode="External"/><Relationship Id="rId4" Type="http://schemas.openxmlformats.org/officeDocument/2006/relationships/hyperlink" Target="https://www.innovation2drivetrain.com/"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1E34-3D1F-4D4A-8D3B-9B3E0598856B}">
  <sheetPr codeName="Sheet1"/>
  <dimension ref="A1:H2"/>
  <sheetViews>
    <sheetView workbookViewId="0">
      <selection activeCell="I10" sqref="I10"/>
    </sheetView>
  </sheetViews>
  <sheetFormatPr baseColWidth="10" defaultRowHeight="16" x14ac:dyDescent="0.2"/>
  <cols>
    <col min="1" max="1" width="12.1640625" bestFit="1" customWidth="1"/>
    <col min="2" max="2" width="7.1640625" bestFit="1" customWidth="1"/>
    <col min="3" max="3" width="13.33203125" bestFit="1" customWidth="1"/>
    <col min="4" max="4" width="13.1640625" bestFit="1" customWidth="1"/>
    <col min="5" max="5" width="13.1640625" customWidth="1"/>
    <col min="6" max="6" width="37" bestFit="1" customWidth="1"/>
    <col min="7" max="7" width="37" customWidth="1"/>
    <col min="8" max="8" width="12.5" bestFit="1" customWidth="1"/>
    <col min="9" max="10" width="20.33203125" bestFit="1" customWidth="1"/>
  </cols>
  <sheetData>
    <row r="1" spans="1:8" x14ac:dyDescent="0.2">
      <c r="A1" t="s">
        <v>103</v>
      </c>
      <c r="B1" t="s">
        <v>104</v>
      </c>
      <c r="C1" t="s">
        <v>105</v>
      </c>
      <c r="D1" t="s">
        <v>106</v>
      </c>
      <c r="E1" t="s">
        <v>153</v>
      </c>
      <c r="F1" t="s">
        <v>151</v>
      </c>
      <c r="G1" t="s">
        <v>152</v>
      </c>
      <c r="H1" t="s">
        <v>108</v>
      </c>
    </row>
    <row r="2" spans="1:8" x14ac:dyDescent="0.2">
      <c r="A2">
        <v>1</v>
      </c>
      <c r="B2" t="s">
        <v>100</v>
      </c>
      <c r="C2" t="s">
        <v>101</v>
      </c>
      <c r="D2" t="s">
        <v>102</v>
      </c>
      <c r="E2" t="s">
        <v>154</v>
      </c>
      <c r="F2" t="s">
        <v>149</v>
      </c>
      <c r="G2" t="s">
        <v>150</v>
      </c>
      <c r="H2" s="4">
        <v>34220</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2EFF-02C6-074A-8EA6-4DCC29873E0E}">
  <dimension ref="A1:E9"/>
  <sheetViews>
    <sheetView workbookViewId="0">
      <selection activeCell="D28" sqref="D28"/>
    </sheetView>
  </sheetViews>
  <sheetFormatPr baseColWidth="10" defaultRowHeight="16" x14ac:dyDescent="0.2"/>
  <cols>
    <col min="1" max="1" width="12" customWidth="1"/>
    <col min="2" max="2" width="15.1640625" customWidth="1"/>
    <col min="3" max="3" width="33.5" bestFit="1" customWidth="1"/>
    <col min="4" max="4" width="82.6640625" customWidth="1"/>
  </cols>
  <sheetData>
    <row r="1" spans="1:5" x14ac:dyDescent="0.2">
      <c r="A1" t="s">
        <v>132</v>
      </c>
      <c r="B1" t="s">
        <v>138</v>
      </c>
      <c r="C1" t="s">
        <v>144</v>
      </c>
      <c r="D1" t="s">
        <v>112</v>
      </c>
      <c r="E1" t="s">
        <v>192</v>
      </c>
    </row>
    <row r="2" spans="1:5" x14ac:dyDescent="0.2">
      <c r="A2">
        <v>0</v>
      </c>
      <c r="B2" t="s">
        <v>83</v>
      </c>
      <c r="C2" t="s">
        <v>186</v>
      </c>
      <c r="D2" t="s">
        <v>148</v>
      </c>
      <c r="E2" t="s">
        <v>187</v>
      </c>
    </row>
    <row r="3" spans="1:5" x14ac:dyDescent="0.2">
      <c r="A3">
        <v>1</v>
      </c>
      <c r="B3" t="s">
        <v>2</v>
      </c>
      <c r="D3" t="s">
        <v>133</v>
      </c>
    </row>
    <row r="4" spans="1:5" x14ac:dyDescent="0.2">
      <c r="A4">
        <v>2</v>
      </c>
      <c r="B4" t="s">
        <v>140</v>
      </c>
      <c r="C4" t="s">
        <v>270</v>
      </c>
      <c r="D4" s="8" t="s">
        <v>191</v>
      </c>
      <c r="E4" t="s">
        <v>190</v>
      </c>
    </row>
    <row r="5" spans="1:5" x14ac:dyDescent="0.2">
      <c r="A5">
        <v>3</v>
      </c>
      <c r="B5" t="s">
        <v>145</v>
      </c>
      <c r="C5" t="s">
        <v>269</v>
      </c>
      <c r="D5" t="s">
        <v>147</v>
      </c>
      <c r="E5" t="s">
        <v>188</v>
      </c>
    </row>
    <row r="6" spans="1:5" x14ac:dyDescent="0.2">
      <c r="A6">
        <v>4</v>
      </c>
      <c r="B6" t="s">
        <v>142</v>
      </c>
      <c r="C6" t="s">
        <v>271</v>
      </c>
      <c r="D6" t="s">
        <v>146</v>
      </c>
      <c r="E6" t="s">
        <v>189</v>
      </c>
    </row>
    <row r="7" spans="1:5" x14ac:dyDescent="0.2">
      <c r="A7">
        <v>5</v>
      </c>
      <c r="B7" t="s">
        <v>141</v>
      </c>
      <c r="D7" t="s">
        <v>134</v>
      </c>
    </row>
    <row r="8" spans="1:5" x14ac:dyDescent="0.2">
      <c r="A8">
        <v>6</v>
      </c>
      <c r="B8" t="s">
        <v>143</v>
      </c>
      <c r="D8" t="s">
        <v>135</v>
      </c>
    </row>
    <row r="9" spans="1:5" x14ac:dyDescent="0.2">
      <c r="A9">
        <v>7</v>
      </c>
      <c r="B9" t="s">
        <v>97</v>
      </c>
      <c r="D9" t="s">
        <v>136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3B3E-1A0A-CB44-9815-AAA172704B4B}">
  <sheetPr codeName="Sheet3"/>
  <dimension ref="A1:H15"/>
  <sheetViews>
    <sheetView workbookViewId="0">
      <selection activeCell="C20" sqref="C20"/>
    </sheetView>
  </sheetViews>
  <sheetFormatPr baseColWidth="10" defaultRowHeight="16" x14ac:dyDescent="0.2"/>
  <cols>
    <col min="1" max="1" width="15.33203125" bestFit="1" customWidth="1"/>
    <col min="2" max="2" width="12.1640625" bestFit="1" customWidth="1"/>
    <col min="3" max="3" width="28.5" bestFit="1" customWidth="1"/>
    <col min="4" max="4" width="33.83203125" bestFit="1" customWidth="1"/>
    <col min="5" max="5" width="41.5" bestFit="1" customWidth="1"/>
    <col min="6" max="6" width="12.5" bestFit="1" customWidth="1"/>
    <col min="7" max="7" width="11.5" bestFit="1" customWidth="1"/>
    <col min="8" max="8" width="27.33203125" customWidth="1"/>
  </cols>
  <sheetData>
    <row r="1" spans="1:8" x14ac:dyDescent="0.2">
      <c r="A1" t="s">
        <v>137</v>
      </c>
      <c r="B1" t="s">
        <v>103</v>
      </c>
      <c r="C1" t="s">
        <v>104</v>
      </c>
      <c r="D1" t="s">
        <v>111</v>
      </c>
      <c r="E1" t="s">
        <v>107</v>
      </c>
      <c r="F1" t="s">
        <v>109</v>
      </c>
      <c r="G1" t="s">
        <v>110</v>
      </c>
      <c r="H1" t="s">
        <v>112</v>
      </c>
    </row>
    <row r="2" spans="1:8" x14ac:dyDescent="0.2">
      <c r="A2">
        <v>1</v>
      </c>
      <c r="B2">
        <v>1</v>
      </c>
      <c r="D2" t="s">
        <v>4</v>
      </c>
      <c r="E2" t="s">
        <v>5</v>
      </c>
      <c r="F2" s="4">
        <v>36773</v>
      </c>
      <c r="G2" s="4">
        <v>38163</v>
      </c>
    </row>
    <row r="3" spans="1:8" x14ac:dyDescent="0.2">
      <c r="A3">
        <v>2</v>
      </c>
      <c r="B3">
        <v>1</v>
      </c>
      <c r="C3" t="s">
        <v>0</v>
      </c>
      <c r="D3" t="s">
        <v>1</v>
      </c>
      <c r="E3" t="s">
        <v>6</v>
      </c>
      <c r="F3" s="4">
        <v>38208</v>
      </c>
      <c r="G3" s="4">
        <v>41422</v>
      </c>
    </row>
    <row r="4" spans="1:8" x14ac:dyDescent="0.2">
      <c r="A4">
        <v>3</v>
      </c>
      <c r="B4">
        <v>1</v>
      </c>
      <c r="D4" t="s">
        <v>3</v>
      </c>
      <c r="E4" t="s">
        <v>7</v>
      </c>
      <c r="F4" s="4">
        <v>40409</v>
      </c>
      <c r="G4" s="4">
        <v>40501</v>
      </c>
    </row>
    <row r="5" spans="1:8" x14ac:dyDescent="0.2">
      <c r="A5">
        <v>4</v>
      </c>
      <c r="B5">
        <v>1</v>
      </c>
      <c r="C5" t="s">
        <v>123</v>
      </c>
      <c r="D5" t="s">
        <v>8</v>
      </c>
      <c r="E5" t="s">
        <v>9</v>
      </c>
      <c r="F5" s="4">
        <v>41913</v>
      </c>
      <c r="G5" s="4">
        <v>43190</v>
      </c>
      <c r="H5" t="s">
        <v>71</v>
      </c>
    </row>
    <row r="6" spans="1:8" x14ac:dyDescent="0.2">
      <c r="A6">
        <v>5</v>
      </c>
      <c r="B6">
        <v>1</v>
      </c>
      <c r="D6" t="s">
        <v>11</v>
      </c>
      <c r="E6" t="s">
        <v>12</v>
      </c>
      <c r="F6" s="4">
        <v>42590</v>
      </c>
      <c r="G6" s="4">
        <v>42629</v>
      </c>
      <c r="H6" t="s">
        <v>10</v>
      </c>
    </row>
    <row r="7" spans="1:8" x14ac:dyDescent="0.2">
      <c r="A7">
        <v>6</v>
      </c>
      <c r="B7">
        <v>1</v>
      </c>
      <c r="C7" t="s">
        <v>126</v>
      </c>
      <c r="D7" t="s">
        <v>13</v>
      </c>
      <c r="E7" t="s">
        <v>15</v>
      </c>
      <c r="F7" s="4">
        <v>42965</v>
      </c>
      <c r="G7" s="4">
        <v>43115</v>
      </c>
      <c r="H7" t="s">
        <v>14</v>
      </c>
    </row>
    <row r="8" spans="1:8" x14ac:dyDescent="0.2">
      <c r="A8">
        <v>7</v>
      </c>
      <c r="B8">
        <v>1</v>
      </c>
      <c r="C8" t="s">
        <v>124</v>
      </c>
      <c r="D8" t="s">
        <v>8</v>
      </c>
      <c r="E8" t="s">
        <v>9</v>
      </c>
      <c r="F8" s="4">
        <v>43191</v>
      </c>
      <c r="G8" s="4">
        <v>44334</v>
      </c>
      <c r="H8" t="s">
        <v>70</v>
      </c>
    </row>
    <row r="9" spans="1:8" x14ac:dyDescent="0.2">
      <c r="A9">
        <v>8</v>
      </c>
      <c r="B9">
        <v>1</v>
      </c>
      <c r="C9" t="s">
        <v>125</v>
      </c>
      <c r="D9" t="s">
        <v>8</v>
      </c>
      <c r="E9" t="s">
        <v>9</v>
      </c>
      <c r="F9" s="4">
        <v>44334</v>
      </c>
      <c r="G9" s="4">
        <v>45723</v>
      </c>
      <c r="H9" t="s">
        <v>69</v>
      </c>
    </row>
    <row r="10" spans="1:8" x14ac:dyDescent="0.2">
      <c r="A10">
        <v>9</v>
      </c>
      <c r="B10">
        <v>1</v>
      </c>
      <c r="C10" t="s">
        <v>26</v>
      </c>
      <c r="D10" t="s">
        <v>24</v>
      </c>
      <c r="E10" t="s">
        <v>25</v>
      </c>
      <c r="F10" s="4">
        <v>41519</v>
      </c>
      <c r="G10" s="4">
        <v>41554</v>
      </c>
      <c r="H10" t="s">
        <v>32</v>
      </c>
    </row>
    <row r="11" spans="1:8" x14ac:dyDescent="0.2">
      <c r="A11">
        <v>10</v>
      </c>
      <c r="B11">
        <v>1</v>
      </c>
      <c r="C11" t="s">
        <v>16</v>
      </c>
      <c r="D11" t="s">
        <v>8</v>
      </c>
      <c r="E11" t="s">
        <v>9</v>
      </c>
      <c r="F11" s="4">
        <v>42668</v>
      </c>
      <c r="G11" s="4">
        <v>43629</v>
      </c>
      <c r="H11" t="s">
        <v>27</v>
      </c>
    </row>
    <row r="12" spans="1:8" x14ac:dyDescent="0.2">
      <c r="A12">
        <v>11</v>
      </c>
      <c r="B12">
        <v>1</v>
      </c>
      <c r="C12" s="3" t="s">
        <v>17</v>
      </c>
      <c r="D12" t="s">
        <v>8</v>
      </c>
      <c r="E12" t="s">
        <v>9</v>
      </c>
      <c r="F12" s="5">
        <v>43630</v>
      </c>
      <c r="G12" s="6">
        <v>44165</v>
      </c>
      <c r="H12" t="s">
        <v>28</v>
      </c>
    </row>
    <row r="13" spans="1:8" x14ac:dyDescent="0.2">
      <c r="A13">
        <v>12</v>
      </c>
      <c r="B13">
        <v>1</v>
      </c>
      <c r="C13" t="s">
        <v>18</v>
      </c>
      <c r="D13" t="s">
        <v>8</v>
      </c>
      <c r="E13" t="s">
        <v>9</v>
      </c>
      <c r="F13" s="4">
        <v>44270</v>
      </c>
      <c r="G13" s="4">
        <v>45838</v>
      </c>
      <c r="H13" s="7" t="s">
        <v>29</v>
      </c>
    </row>
    <row r="14" spans="1:8" x14ac:dyDescent="0.2">
      <c r="A14">
        <v>13</v>
      </c>
      <c r="B14">
        <v>1</v>
      </c>
      <c r="C14" t="s">
        <v>145</v>
      </c>
      <c r="D14" t="s">
        <v>19</v>
      </c>
      <c r="E14" t="s">
        <v>20</v>
      </c>
      <c r="F14" s="4">
        <v>45565</v>
      </c>
      <c r="G14" s="4"/>
      <c r="H14" t="s">
        <v>30</v>
      </c>
    </row>
    <row r="15" spans="1:8" x14ac:dyDescent="0.2">
      <c r="A15">
        <v>14</v>
      </c>
      <c r="B15">
        <v>1</v>
      </c>
      <c r="C15" t="s">
        <v>21</v>
      </c>
      <c r="D15" t="s">
        <v>22</v>
      </c>
      <c r="E15" t="s">
        <v>23</v>
      </c>
      <c r="F15" s="4">
        <v>45717</v>
      </c>
      <c r="G15" s="4">
        <v>45900</v>
      </c>
      <c r="H15"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A7A3-BDA4-9549-81B7-DA9DFB9E098A}">
  <dimension ref="A1:B24"/>
  <sheetViews>
    <sheetView workbookViewId="0">
      <selection activeCell="E26" sqref="E26"/>
    </sheetView>
  </sheetViews>
  <sheetFormatPr baseColWidth="10" defaultRowHeight="16" x14ac:dyDescent="0.2"/>
  <cols>
    <col min="1" max="1" width="12.83203125" customWidth="1"/>
    <col min="2" max="2" width="14.83203125" customWidth="1"/>
  </cols>
  <sheetData>
    <row r="1" spans="1:2" x14ac:dyDescent="0.2">
      <c r="A1" t="s">
        <v>137</v>
      </c>
      <c r="B1" t="s">
        <v>132</v>
      </c>
    </row>
    <row r="2" spans="1:2" x14ac:dyDescent="0.2">
      <c r="A2" s="11">
        <v>1</v>
      </c>
      <c r="B2">
        <v>1</v>
      </c>
    </row>
    <row r="3" spans="1:2" x14ac:dyDescent="0.2">
      <c r="A3" s="13">
        <v>2</v>
      </c>
      <c r="B3">
        <v>1</v>
      </c>
    </row>
    <row r="4" spans="1:2" x14ac:dyDescent="0.2">
      <c r="A4" s="26">
        <v>3</v>
      </c>
      <c r="B4">
        <v>1</v>
      </c>
    </row>
    <row r="5" spans="1:2" x14ac:dyDescent="0.2">
      <c r="A5" s="13">
        <v>4</v>
      </c>
      <c r="B5">
        <v>1</v>
      </c>
    </row>
    <row r="6" spans="1:2" x14ac:dyDescent="0.2">
      <c r="A6" s="11">
        <v>4</v>
      </c>
      <c r="B6">
        <v>2</v>
      </c>
    </row>
    <row r="7" spans="1:2" x14ac:dyDescent="0.2">
      <c r="A7" s="13">
        <v>5</v>
      </c>
      <c r="B7">
        <v>1</v>
      </c>
    </row>
    <row r="8" spans="1:2" x14ac:dyDescent="0.2">
      <c r="A8" s="11">
        <v>5</v>
      </c>
      <c r="B8">
        <v>2</v>
      </c>
    </row>
    <row r="9" spans="1:2" x14ac:dyDescent="0.2">
      <c r="A9" s="13">
        <v>6</v>
      </c>
      <c r="B9">
        <v>1</v>
      </c>
    </row>
    <row r="10" spans="1:2" x14ac:dyDescent="0.2">
      <c r="A10" s="11">
        <v>6</v>
      </c>
      <c r="B10">
        <v>2</v>
      </c>
    </row>
    <row r="11" spans="1:2" x14ac:dyDescent="0.2">
      <c r="A11" s="13">
        <v>7</v>
      </c>
      <c r="B11">
        <v>1</v>
      </c>
    </row>
    <row r="12" spans="1:2" x14ac:dyDescent="0.2">
      <c r="A12" s="11">
        <v>7</v>
      </c>
      <c r="B12">
        <v>2</v>
      </c>
    </row>
    <row r="13" spans="1:2" x14ac:dyDescent="0.2">
      <c r="A13" s="11">
        <v>8</v>
      </c>
      <c r="B13">
        <v>1</v>
      </c>
    </row>
    <row r="14" spans="1:2" x14ac:dyDescent="0.2">
      <c r="A14" s="11">
        <v>8</v>
      </c>
      <c r="B14">
        <v>2</v>
      </c>
    </row>
    <row r="15" spans="1:2" x14ac:dyDescent="0.2">
      <c r="A15" s="11">
        <v>8</v>
      </c>
      <c r="B15">
        <v>4</v>
      </c>
    </row>
    <row r="16" spans="1:2" x14ac:dyDescent="0.2">
      <c r="A16" s="27">
        <v>8</v>
      </c>
      <c r="B16">
        <v>6</v>
      </c>
    </row>
    <row r="17" spans="1:2" x14ac:dyDescent="0.2">
      <c r="A17" s="11">
        <v>9</v>
      </c>
      <c r="B17">
        <v>7</v>
      </c>
    </row>
    <row r="18" spans="1:2" x14ac:dyDescent="0.2">
      <c r="A18" s="11">
        <v>10</v>
      </c>
      <c r="B18">
        <v>2</v>
      </c>
    </row>
    <row r="19" spans="1:2" x14ac:dyDescent="0.2">
      <c r="A19" s="11">
        <v>11</v>
      </c>
      <c r="B19">
        <v>2</v>
      </c>
    </row>
    <row r="20" spans="1:2" x14ac:dyDescent="0.2">
      <c r="A20" s="11">
        <v>12</v>
      </c>
      <c r="B20">
        <v>2</v>
      </c>
    </row>
    <row r="21" spans="1:2" x14ac:dyDescent="0.2">
      <c r="A21" s="11">
        <v>12</v>
      </c>
      <c r="B21">
        <v>6</v>
      </c>
    </row>
    <row r="22" spans="1:2" x14ac:dyDescent="0.2">
      <c r="A22" s="11">
        <v>13</v>
      </c>
      <c r="B22">
        <v>3</v>
      </c>
    </row>
    <row r="23" spans="1:2" x14ac:dyDescent="0.2">
      <c r="A23" s="11">
        <v>14</v>
      </c>
      <c r="B23">
        <v>2</v>
      </c>
    </row>
    <row r="24" spans="1:2" x14ac:dyDescent="0.2">
      <c r="A24" s="27">
        <v>14</v>
      </c>
      <c r="B24">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1FF2-90F4-704C-B2EA-477ABF81083D}">
  <dimension ref="A1:F23"/>
  <sheetViews>
    <sheetView workbookViewId="0">
      <selection activeCell="C19" sqref="C19"/>
    </sheetView>
  </sheetViews>
  <sheetFormatPr baseColWidth="10" defaultRowHeight="16" x14ac:dyDescent="0.2"/>
  <cols>
    <col min="1" max="1" width="14.6640625" bestFit="1" customWidth="1"/>
    <col min="2" max="2" width="14.6640625" customWidth="1"/>
    <col min="3" max="3" width="38.83203125" bestFit="1" customWidth="1"/>
    <col min="4" max="4" width="26.1640625" bestFit="1" customWidth="1"/>
    <col min="5" max="5" width="18" bestFit="1" customWidth="1"/>
  </cols>
  <sheetData>
    <row r="1" spans="1:6" x14ac:dyDescent="0.2">
      <c r="A1" t="s">
        <v>160</v>
      </c>
      <c r="B1" t="s">
        <v>103</v>
      </c>
      <c r="C1" t="s">
        <v>138</v>
      </c>
      <c r="D1" t="s">
        <v>168</v>
      </c>
      <c r="E1" t="s">
        <v>167</v>
      </c>
      <c r="F1" t="s">
        <v>277</v>
      </c>
    </row>
    <row r="2" spans="1:6" x14ac:dyDescent="0.2">
      <c r="A2">
        <v>1</v>
      </c>
      <c r="B2">
        <v>1</v>
      </c>
      <c r="C2" t="s">
        <v>165</v>
      </c>
      <c r="D2" t="s">
        <v>169</v>
      </c>
      <c r="E2" s="4">
        <v>38156</v>
      </c>
      <c r="F2" t="s">
        <v>278</v>
      </c>
    </row>
    <row r="3" spans="1:6" x14ac:dyDescent="0.2">
      <c r="A3">
        <v>2</v>
      </c>
      <c r="B3">
        <v>1</v>
      </c>
      <c r="C3" t="s">
        <v>0</v>
      </c>
      <c r="D3" t="s">
        <v>170</v>
      </c>
      <c r="E3" s="4">
        <v>41422</v>
      </c>
      <c r="F3" t="s">
        <v>279</v>
      </c>
    </row>
    <row r="4" spans="1:6" x14ac:dyDescent="0.2">
      <c r="A4">
        <v>3</v>
      </c>
      <c r="B4">
        <v>1</v>
      </c>
      <c r="C4" t="s">
        <v>166</v>
      </c>
      <c r="D4" t="s">
        <v>171</v>
      </c>
      <c r="E4" s="4">
        <v>42447</v>
      </c>
      <c r="F4" t="s">
        <v>280</v>
      </c>
    </row>
    <row r="5" spans="1:6" x14ac:dyDescent="0.2">
      <c r="A5">
        <v>4</v>
      </c>
      <c r="B5">
        <v>1</v>
      </c>
      <c r="C5" t="s">
        <v>172</v>
      </c>
      <c r="D5" t="s">
        <v>171</v>
      </c>
      <c r="E5" s="4">
        <v>42668</v>
      </c>
      <c r="F5" t="s">
        <v>281</v>
      </c>
    </row>
    <row r="6" spans="1:6" x14ac:dyDescent="0.2">
      <c r="A6">
        <v>5</v>
      </c>
      <c r="B6">
        <v>1</v>
      </c>
      <c r="C6" t="s">
        <v>173</v>
      </c>
      <c r="D6" t="s">
        <v>171</v>
      </c>
      <c r="E6" s="4">
        <v>43199</v>
      </c>
      <c r="F6" t="s">
        <v>282</v>
      </c>
    </row>
    <row r="7" spans="1:6" x14ac:dyDescent="0.2">
      <c r="A7">
        <v>6</v>
      </c>
      <c r="B7">
        <v>1</v>
      </c>
      <c r="C7" t="s">
        <v>174</v>
      </c>
      <c r="D7" s="28" t="s">
        <v>171</v>
      </c>
      <c r="E7" s="4">
        <v>43705</v>
      </c>
      <c r="F7" t="s">
        <v>283</v>
      </c>
    </row>
    <row r="8" spans="1:6" x14ac:dyDescent="0.2">
      <c r="A8">
        <v>7</v>
      </c>
      <c r="B8">
        <v>1</v>
      </c>
      <c r="C8" t="s">
        <v>175</v>
      </c>
      <c r="D8" t="s">
        <v>171</v>
      </c>
      <c r="E8" s="4">
        <v>44256</v>
      </c>
      <c r="F8" t="s">
        <v>284</v>
      </c>
    </row>
    <row r="9" spans="1:6" x14ac:dyDescent="0.2">
      <c r="A9">
        <v>8</v>
      </c>
      <c r="B9">
        <v>1</v>
      </c>
      <c r="C9" t="s">
        <v>177</v>
      </c>
      <c r="D9" t="s">
        <v>171</v>
      </c>
      <c r="E9" s="4">
        <v>44301</v>
      </c>
      <c r="F9" t="s">
        <v>285</v>
      </c>
    </row>
    <row r="10" spans="1:6" x14ac:dyDescent="0.2">
      <c r="A10">
        <v>9</v>
      </c>
      <c r="B10">
        <v>1</v>
      </c>
      <c r="C10" t="s">
        <v>178</v>
      </c>
      <c r="D10" t="s">
        <v>171</v>
      </c>
      <c r="E10" s="4">
        <v>44375</v>
      </c>
      <c r="F10" t="s">
        <v>286</v>
      </c>
    </row>
    <row r="11" spans="1:6" x14ac:dyDescent="0.2">
      <c r="A11">
        <v>10</v>
      </c>
      <c r="B11">
        <v>1</v>
      </c>
      <c r="C11" t="s">
        <v>179</v>
      </c>
      <c r="D11" t="s">
        <v>265</v>
      </c>
      <c r="E11" s="4">
        <v>44440</v>
      </c>
      <c r="F11" t="s">
        <v>287</v>
      </c>
    </row>
    <row r="12" spans="1:6" x14ac:dyDescent="0.2">
      <c r="A12">
        <v>11</v>
      </c>
      <c r="B12">
        <v>1</v>
      </c>
      <c r="C12" t="s">
        <v>180</v>
      </c>
      <c r="D12" t="s">
        <v>265</v>
      </c>
      <c r="E12" s="4">
        <v>45149</v>
      </c>
      <c r="F12" t="s">
        <v>288</v>
      </c>
    </row>
    <row r="13" spans="1:6" x14ac:dyDescent="0.2">
      <c r="A13">
        <v>12</v>
      </c>
      <c r="B13">
        <v>1</v>
      </c>
      <c r="C13" t="s">
        <v>181</v>
      </c>
      <c r="D13" t="s">
        <v>266</v>
      </c>
      <c r="E13" s="4">
        <v>45273</v>
      </c>
      <c r="F13" t="s">
        <v>289</v>
      </c>
    </row>
    <row r="14" spans="1:6" x14ac:dyDescent="0.2">
      <c r="A14">
        <v>13</v>
      </c>
      <c r="B14">
        <v>1</v>
      </c>
      <c r="C14" t="s">
        <v>182</v>
      </c>
      <c r="D14" t="s">
        <v>266</v>
      </c>
      <c r="E14" s="4">
        <v>45441</v>
      </c>
      <c r="F14" t="s">
        <v>290</v>
      </c>
    </row>
    <row r="15" spans="1:6" x14ac:dyDescent="0.2">
      <c r="A15">
        <v>14</v>
      </c>
      <c r="B15">
        <v>1</v>
      </c>
      <c r="C15" t="s">
        <v>183</v>
      </c>
      <c r="D15" t="s">
        <v>266</v>
      </c>
      <c r="E15" s="4">
        <v>45492</v>
      </c>
      <c r="F15" t="s">
        <v>291</v>
      </c>
    </row>
    <row r="16" spans="1:6" x14ac:dyDescent="0.2">
      <c r="A16">
        <v>15</v>
      </c>
      <c r="B16">
        <v>1</v>
      </c>
      <c r="C16" t="s">
        <v>176</v>
      </c>
      <c r="D16" t="s">
        <v>266</v>
      </c>
      <c r="E16" s="4">
        <v>45741</v>
      </c>
      <c r="F16" t="s">
        <v>292</v>
      </c>
    </row>
    <row r="17" spans="1:6" x14ac:dyDescent="0.2">
      <c r="A17">
        <v>16</v>
      </c>
      <c r="B17">
        <v>1</v>
      </c>
      <c r="C17" t="s">
        <v>184</v>
      </c>
      <c r="D17" t="s">
        <v>266</v>
      </c>
      <c r="E17" s="4">
        <v>45805</v>
      </c>
      <c r="F17" t="s">
        <v>293</v>
      </c>
    </row>
    <row r="18" spans="1:6" x14ac:dyDescent="0.2">
      <c r="A18">
        <v>17</v>
      </c>
      <c r="B18">
        <v>1</v>
      </c>
      <c r="C18" t="s">
        <v>185</v>
      </c>
      <c r="D18" t="s">
        <v>265</v>
      </c>
      <c r="E18" s="4">
        <v>45805</v>
      </c>
      <c r="F18" t="s">
        <v>294</v>
      </c>
    </row>
    <row r="19" spans="1:6" x14ac:dyDescent="0.2">
      <c r="A19">
        <v>18</v>
      </c>
      <c r="B19">
        <v>1</v>
      </c>
      <c r="C19" t="s">
        <v>307</v>
      </c>
      <c r="D19" t="s">
        <v>265</v>
      </c>
      <c r="E19" s="4">
        <v>45867</v>
      </c>
      <c r="F19" t="s">
        <v>295</v>
      </c>
    </row>
    <row r="20" spans="1:6" x14ac:dyDescent="0.2">
      <c r="A20">
        <v>19</v>
      </c>
      <c r="B20">
        <v>1</v>
      </c>
      <c r="C20" t="s">
        <v>296</v>
      </c>
      <c r="D20" t="s">
        <v>297</v>
      </c>
      <c r="E20" s="4">
        <v>46108</v>
      </c>
      <c r="F20" t="s">
        <v>298</v>
      </c>
    </row>
    <row r="21" spans="1:6" x14ac:dyDescent="0.2">
      <c r="E21" s="4"/>
    </row>
    <row r="22" spans="1:6" x14ac:dyDescent="0.2">
      <c r="E22" s="4"/>
    </row>
    <row r="23" spans="1:6" x14ac:dyDescent="0.2">
      <c r="E23"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0D70-4A30-354E-B1F7-417C7FE3B3BE}">
  <dimension ref="A1:B72"/>
  <sheetViews>
    <sheetView topLeftCell="A8" workbookViewId="0">
      <selection activeCell="B72" sqref="B72"/>
    </sheetView>
  </sheetViews>
  <sheetFormatPr baseColWidth="10" defaultRowHeight="16" x14ac:dyDescent="0.2"/>
  <cols>
    <col min="1" max="1" width="13" bestFit="1" customWidth="1"/>
    <col min="2" max="2" width="14.6640625" bestFit="1" customWidth="1"/>
    <col min="5" max="5" width="38.83203125" bestFit="1" customWidth="1"/>
    <col min="6" max="6" width="26.1640625" bestFit="1" customWidth="1"/>
    <col min="10" max="10" width="17" bestFit="1" customWidth="1"/>
    <col min="11" max="11" width="38.83203125" bestFit="1" customWidth="1"/>
  </cols>
  <sheetData>
    <row r="1" spans="1:2" x14ac:dyDescent="0.2">
      <c r="A1" t="s">
        <v>160</v>
      </c>
      <c r="B1" t="s">
        <v>132</v>
      </c>
    </row>
    <row r="2" spans="1:2" x14ac:dyDescent="0.2">
      <c r="A2">
        <v>1</v>
      </c>
      <c r="B2">
        <v>0</v>
      </c>
    </row>
    <row r="3" spans="1:2" x14ac:dyDescent="0.2">
      <c r="A3">
        <v>1</v>
      </c>
      <c r="B3">
        <v>7</v>
      </c>
    </row>
    <row r="4" spans="1:2" x14ac:dyDescent="0.2">
      <c r="A4">
        <v>2</v>
      </c>
      <c r="B4">
        <v>0</v>
      </c>
    </row>
    <row r="5" spans="1:2" x14ac:dyDescent="0.2">
      <c r="A5">
        <v>2</v>
      </c>
      <c r="B5">
        <v>1</v>
      </c>
    </row>
    <row r="6" spans="1:2" x14ac:dyDescent="0.2">
      <c r="A6">
        <v>3</v>
      </c>
      <c r="B6">
        <v>0</v>
      </c>
    </row>
    <row r="7" spans="1:2" x14ac:dyDescent="0.2">
      <c r="A7">
        <v>3</v>
      </c>
      <c r="B7">
        <v>4</v>
      </c>
    </row>
    <row r="8" spans="1:2" x14ac:dyDescent="0.2">
      <c r="A8">
        <v>3</v>
      </c>
      <c r="B8">
        <v>5</v>
      </c>
    </row>
    <row r="9" spans="1:2" x14ac:dyDescent="0.2">
      <c r="A9">
        <v>4</v>
      </c>
      <c r="B9">
        <v>0</v>
      </c>
    </row>
    <row r="10" spans="1:2" x14ac:dyDescent="0.2">
      <c r="A10">
        <v>4</v>
      </c>
      <c r="B10">
        <v>7</v>
      </c>
    </row>
    <row r="11" spans="1:2" x14ac:dyDescent="0.2">
      <c r="A11">
        <v>5</v>
      </c>
      <c r="B11">
        <v>0</v>
      </c>
    </row>
    <row r="12" spans="1:2" x14ac:dyDescent="0.2">
      <c r="A12">
        <v>5</v>
      </c>
      <c r="B12">
        <v>1</v>
      </c>
    </row>
    <row r="13" spans="1:2" x14ac:dyDescent="0.2">
      <c r="A13">
        <v>5</v>
      </c>
      <c r="B13">
        <v>2</v>
      </c>
    </row>
    <row r="14" spans="1:2" x14ac:dyDescent="0.2">
      <c r="A14">
        <v>6</v>
      </c>
      <c r="B14">
        <v>0</v>
      </c>
    </row>
    <row r="15" spans="1:2" x14ac:dyDescent="0.2">
      <c r="A15">
        <v>6</v>
      </c>
      <c r="B15">
        <v>7</v>
      </c>
    </row>
    <row r="16" spans="1:2" x14ac:dyDescent="0.2">
      <c r="A16">
        <v>7</v>
      </c>
      <c r="B16">
        <v>0</v>
      </c>
    </row>
    <row r="17" spans="1:2" x14ac:dyDescent="0.2">
      <c r="A17">
        <v>7</v>
      </c>
      <c r="B17">
        <v>2</v>
      </c>
    </row>
    <row r="18" spans="1:2" x14ac:dyDescent="0.2">
      <c r="A18">
        <v>8</v>
      </c>
      <c r="B18">
        <v>0</v>
      </c>
    </row>
    <row r="19" spans="1:2" x14ac:dyDescent="0.2">
      <c r="A19">
        <v>8</v>
      </c>
      <c r="B19">
        <v>1</v>
      </c>
    </row>
    <row r="20" spans="1:2" x14ac:dyDescent="0.2">
      <c r="A20">
        <v>8</v>
      </c>
      <c r="B20">
        <v>2</v>
      </c>
    </row>
    <row r="21" spans="1:2" x14ac:dyDescent="0.2">
      <c r="A21">
        <v>8</v>
      </c>
      <c r="B21">
        <v>4</v>
      </c>
    </row>
    <row r="22" spans="1:2" x14ac:dyDescent="0.2">
      <c r="A22">
        <v>9</v>
      </c>
      <c r="B22">
        <v>0</v>
      </c>
    </row>
    <row r="23" spans="1:2" x14ac:dyDescent="0.2">
      <c r="A23">
        <v>9</v>
      </c>
      <c r="B23">
        <v>7</v>
      </c>
    </row>
    <row r="24" spans="1:2" x14ac:dyDescent="0.2">
      <c r="A24">
        <v>6</v>
      </c>
      <c r="B24">
        <v>2</v>
      </c>
    </row>
    <row r="25" spans="1:2" x14ac:dyDescent="0.2">
      <c r="A25">
        <v>10</v>
      </c>
      <c r="B25">
        <v>0</v>
      </c>
    </row>
    <row r="26" spans="1:2" x14ac:dyDescent="0.2">
      <c r="A26">
        <v>10</v>
      </c>
      <c r="B26">
        <v>1</v>
      </c>
    </row>
    <row r="27" spans="1:2" x14ac:dyDescent="0.2">
      <c r="A27">
        <v>10</v>
      </c>
      <c r="B27">
        <v>2</v>
      </c>
    </row>
    <row r="28" spans="1:2" x14ac:dyDescent="0.2">
      <c r="A28">
        <v>10</v>
      </c>
      <c r="B28">
        <v>4</v>
      </c>
    </row>
    <row r="29" spans="1:2" x14ac:dyDescent="0.2">
      <c r="A29">
        <v>3</v>
      </c>
      <c r="B29">
        <v>1</v>
      </c>
    </row>
    <row r="30" spans="1:2" x14ac:dyDescent="0.2">
      <c r="A30">
        <v>4</v>
      </c>
      <c r="B30">
        <v>1</v>
      </c>
    </row>
    <row r="31" spans="1:2" x14ac:dyDescent="0.2">
      <c r="A31">
        <v>11</v>
      </c>
      <c r="B31">
        <v>0</v>
      </c>
    </row>
    <row r="32" spans="1:2" x14ac:dyDescent="0.2">
      <c r="A32">
        <v>11</v>
      </c>
      <c r="B32">
        <v>1</v>
      </c>
    </row>
    <row r="33" spans="1:2" x14ac:dyDescent="0.2">
      <c r="A33">
        <v>11</v>
      </c>
      <c r="B33">
        <v>2</v>
      </c>
    </row>
    <row r="34" spans="1:2" x14ac:dyDescent="0.2">
      <c r="A34">
        <v>11</v>
      </c>
      <c r="B34">
        <v>5</v>
      </c>
    </row>
    <row r="35" spans="1:2" x14ac:dyDescent="0.2">
      <c r="A35">
        <v>12</v>
      </c>
      <c r="B35">
        <v>0</v>
      </c>
    </row>
    <row r="36" spans="1:2" x14ac:dyDescent="0.2">
      <c r="A36">
        <v>12</v>
      </c>
      <c r="B36">
        <v>2</v>
      </c>
    </row>
    <row r="37" spans="1:2" x14ac:dyDescent="0.2">
      <c r="A37">
        <v>12</v>
      </c>
      <c r="B37">
        <v>3</v>
      </c>
    </row>
    <row r="38" spans="1:2" x14ac:dyDescent="0.2">
      <c r="A38">
        <v>13</v>
      </c>
      <c r="B38">
        <v>0</v>
      </c>
    </row>
    <row r="39" spans="1:2" x14ac:dyDescent="0.2">
      <c r="A39">
        <v>12</v>
      </c>
      <c r="B39">
        <v>4</v>
      </c>
    </row>
    <row r="40" spans="1:2" x14ac:dyDescent="0.2">
      <c r="A40">
        <v>12</v>
      </c>
      <c r="B40">
        <v>5</v>
      </c>
    </row>
    <row r="41" spans="1:2" x14ac:dyDescent="0.2">
      <c r="A41">
        <v>5</v>
      </c>
      <c r="B41">
        <v>6</v>
      </c>
    </row>
    <row r="42" spans="1:2" x14ac:dyDescent="0.2">
      <c r="A42">
        <v>8</v>
      </c>
      <c r="B42">
        <v>6</v>
      </c>
    </row>
    <row r="43" spans="1:2" x14ac:dyDescent="0.2">
      <c r="A43">
        <v>13</v>
      </c>
      <c r="B43">
        <v>1</v>
      </c>
    </row>
    <row r="44" spans="1:2" x14ac:dyDescent="0.2">
      <c r="A44">
        <v>13</v>
      </c>
      <c r="B44">
        <v>2</v>
      </c>
    </row>
    <row r="45" spans="1:2" x14ac:dyDescent="0.2">
      <c r="A45">
        <v>13</v>
      </c>
      <c r="B45">
        <v>3</v>
      </c>
    </row>
    <row r="46" spans="1:2" x14ac:dyDescent="0.2">
      <c r="A46">
        <v>13</v>
      </c>
      <c r="B46">
        <v>4</v>
      </c>
    </row>
    <row r="47" spans="1:2" x14ac:dyDescent="0.2">
      <c r="A47">
        <v>13</v>
      </c>
      <c r="B47">
        <v>5</v>
      </c>
    </row>
    <row r="48" spans="1:2" x14ac:dyDescent="0.2">
      <c r="A48">
        <v>13</v>
      </c>
      <c r="B48">
        <v>6</v>
      </c>
    </row>
    <row r="49" spans="1:2" x14ac:dyDescent="0.2">
      <c r="A49">
        <v>14</v>
      </c>
      <c r="B49">
        <v>0</v>
      </c>
    </row>
    <row r="50" spans="1:2" x14ac:dyDescent="0.2">
      <c r="A50">
        <v>14</v>
      </c>
      <c r="B50">
        <v>2</v>
      </c>
    </row>
    <row r="51" spans="1:2" x14ac:dyDescent="0.2">
      <c r="A51">
        <v>15</v>
      </c>
      <c r="B51">
        <v>0</v>
      </c>
    </row>
    <row r="52" spans="1:2" x14ac:dyDescent="0.2">
      <c r="A52">
        <v>15</v>
      </c>
      <c r="B52">
        <v>1</v>
      </c>
    </row>
    <row r="53" spans="1:2" x14ac:dyDescent="0.2">
      <c r="A53">
        <v>15</v>
      </c>
      <c r="B53">
        <v>2</v>
      </c>
    </row>
    <row r="54" spans="1:2" x14ac:dyDescent="0.2">
      <c r="A54">
        <v>15</v>
      </c>
      <c r="B54">
        <v>3</v>
      </c>
    </row>
    <row r="55" spans="1:2" x14ac:dyDescent="0.2">
      <c r="A55">
        <v>15</v>
      </c>
      <c r="B55">
        <v>4</v>
      </c>
    </row>
    <row r="56" spans="1:2" x14ac:dyDescent="0.2">
      <c r="A56">
        <v>15</v>
      </c>
      <c r="B56">
        <v>6</v>
      </c>
    </row>
    <row r="57" spans="1:2" x14ac:dyDescent="0.2">
      <c r="A57">
        <v>16</v>
      </c>
      <c r="B57">
        <v>0</v>
      </c>
    </row>
    <row r="58" spans="1:2" x14ac:dyDescent="0.2">
      <c r="A58">
        <v>16</v>
      </c>
      <c r="B58">
        <v>1</v>
      </c>
    </row>
    <row r="59" spans="1:2" x14ac:dyDescent="0.2">
      <c r="A59">
        <v>14</v>
      </c>
      <c r="B59">
        <v>1</v>
      </c>
    </row>
    <row r="60" spans="1:2" x14ac:dyDescent="0.2">
      <c r="A60">
        <v>16</v>
      </c>
      <c r="B60">
        <v>3</v>
      </c>
    </row>
    <row r="61" spans="1:2" x14ac:dyDescent="0.2">
      <c r="A61">
        <v>16</v>
      </c>
      <c r="B61">
        <v>4</v>
      </c>
    </row>
    <row r="62" spans="1:2" x14ac:dyDescent="0.2">
      <c r="A62">
        <v>16</v>
      </c>
      <c r="B62">
        <v>5</v>
      </c>
    </row>
    <row r="63" spans="1:2" x14ac:dyDescent="0.2">
      <c r="A63">
        <v>17</v>
      </c>
      <c r="B63">
        <v>0</v>
      </c>
    </row>
    <row r="64" spans="1:2" x14ac:dyDescent="0.2">
      <c r="A64">
        <v>17</v>
      </c>
      <c r="B64">
        <v>1</v>
      </c>
    </row>
    <row r="65" spans="1:2" x14ac:dyDescent="0.2">
      <c r="A65">
        <v>17</v>
      </c>
      <c r="B65">
        <v>4</v>
      </c>
    </row>
    <row r="66" spans="1:2" x14ac:dyDescent="0.2">
      <c r="A66">
        <v>17</v>
      </c>
      <c r="B66">
        <v>5</v>
      </c>
    </row>
    <row r="67" spans="1:2" x14ac:dyDescent="0.2">
      <c r="A67">
        <v>18</v>
      </c>
      <c r="B67">
        <v>0</v>
      </c>
    </row>
    <row r="68" spans="1:2" x14ac:dyDescent="0.2">
      <c r="A68">
        <v>18</v>
      </c>
      <c r="B68">
        <v>1</v>
      </c>
    </row>
    <row r="69" spans="1:2" x14ac:dyDescent="0.2">
      <c r="A69">
        <v>18</v>
      </c>
      <c r="B69">
        <v>4</v>
      </c>
    </row>
    <row r="70" spans="1:2" x14ac:dyDescent="0.2">
      <c r="A70">
        <v>18</v>
      </c>
      <c r="B70">
        <v>5</v>
      </c>
    </row>
    <row r="71" spans="1:2" x14ac:dyDescent="0.2">
      <c r="A71">
        <v>19</v>
      </c>
      <c r="B71">
        <v>0</v>
      </c>
    </row>
    <row r="72" spans="1:2" x14ac:dyDescent="0.2">
      <c r="A72">
        <v>19</v>
      </c>
      <c r="B72">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F627-DDBE-1742-9905-942D5D2BA886}">
  <sheetPr codeName="Sheet8"/>
  <dimension ref="A1:H15"/>
  <sheetViews>
    <sheetView topLeftCell="A2" zoomScaleNormal="100" workbookViewId="0">
      <selection activeCell="D26" sqref="D26"/>
    </sheetView>
  </sheetViews>
  <sheetFormatPr baseColWidth="10" defaultRowHeight="16" x14ac:dyDescent="0.2"/>
  <cols>
    <col min="1" max="1" width="13.5" bestFit="1" customWidth="1"/>
    <col min="2" max="2" width="12.1640625" bestFit="1" customWidth="1"/>
    <col min="3" max="3" width="37.5" bestFit="1" customWidth="1"/>
    <col min="4" max="4" width="98.33203125" customWidth="1"/>
    <col min="5" max="5" width="12.5" bestFit="1" customWidth="1"/>
    <col min="6" max="6" width="11.5" bestFit="1" customWidth="1"/>
    <col min="7" max="7" width="11.5" customWidth="1"/>
    <col min="8" max="8" width="12.83203125" customWidth="1"/>
  </cols>
  <sheetData>
    <row r="1" spans="1:8" x14ac:dyDescent="0.2">
      <c r="A1" t="s">
        <v>113</v>
      </c>
      <c r="B1" t="s">
        <v>103</v>
      </c>
      <c r="C1" t="s">
        <v>104</v>
      </c>
      <c r="D1" t="s">
        <v>112</v>
      </c>
      <c r="E1" t="s">
        <v>109</v>
      </c>
      <c r="F1" t="s">
        <v>110</v>
      </c>
      <c r="G1" t="s">
        <v>162</v>
      </c>
      <c r="H1" t="s">
        <v>114</v>
      </c>
    </row>
    <row r="2" spans="1:8" x14ac:dyDescent="0.2">
      <c r="A2">
        <v>1</v>
      </c>
      <c r="B2">
        <v>1</v>
      </c>
      <c r="C2" t="s">
        <v>272</v>
      </c>
      <c r="D2" t="s">
        <v>71</v>
      </c>
      <c r="E2" s="4">
        <v>42892</v>
      </c>
      <c r="F2" s="4">
        <v>42999</v>
      </c>
      <c r="G2" s="4" t="s">
        <v>163</v>
      </c>
    </row>
    <row r="3" spans="1:8" x14ac:dyDescent="0.2">
      <c r="A3">
        <v>2</v>
      </c>
      <c r="B3">
        <v>1</v>
      </c>
      <c r="C3" t="s">
        <v>273</v>
      </c>
      <c r="D3" t="s">
        <v>70</v>
      </c>
      <c r="E3" s="4">
        <v>43915</v>
      </c>
      <c r="F3" s="4">
        <v>44277</v>
      </c>
      <c r="G3" s="4" t="s">
        <v>163</v>
      </c>
    </row>
    <row r="4" spans="1:8" x14ac:dyDescent="0.2">
      <c r="A4" s="2">
        <v>3</v>
      </c>
      <c r="B4" s="1">
        <v>1</v>
      </c>
      <c r="C4" t="s">
        <v>68</v>
      </c>
      <c r="D4" t="s">
        <v>69</v>
      </c>
      <c r="E4" s="4">
        <v>44331</v>
      </c>
      <c r="F4" s="4">
        <v>45723</v>
      </c>
      <c r="G4" s="4" t="s">
        <v>163</v>
      </c>
      <c r="H4" s="10" t="s">
        <v>77</v>
      </c>
    </row>
    <row r="5" spans="1:8" x14ac:dyDescent="0.2">
      <c r="A5">
        <v>4</v>
      </c>
      <c r="B5">
        <v>1</v>
      </c>
      <c r="C5" t="s">
        <v>72</v>
      </c>
      <c r="D5" t="s">
        <v>46</v>
      </c>
      <c r="E5" s="4">
        <v>45744</v>
      </c>
      <c r="G5" t="s">
        <v>164</v>
      </c>
      <c r="H5" t="s">
        <v>47</v>
      </c>
    </row>
    <row r="6" spans="1:8" x14ac:dyDescent="0.2">
      <c r="A6">
        <v>5</v>
      </c>
      <c r="B6">
        <v>1</v>
      </c>
      <c r="C6" t="s">
        <v>73</v>
      </c>
      <c r="D6" t="s">
        <v>48</v>
      </c>
      <c r="E6" s="4">
        <v>45756</v>
      </c>
      <c r="G6" t="s">
        <v>164</v>
      </c>
    </row>
    <row r="7" spans="1:8" x14ac:dyDescent="0.2">
      <c r="A7">
        <v>6</v>
      </c>
      <c r="B7">
        <v>1</v>
      </c>
      <c r="C7" t="s">
        <v>74</v>
      </c>
      <c r="D7" t="s">
        <v>49</v>
      </c>
      <c r="E7" s="4">
        <v>45842</v>
      </c>
      <c r="G7" t="s">
        <v>164</v>
      </c>
    </row>
    <row r="8" spans="1:8" x14ac:dyDescent="0.2">
      <c r="A8">
        <v>7</v>
      </c>
      <c r="B8">
        <v>1</v>
      </c>
      <c r="C8" t="s">
        <v>274</v>
      </c>
      <c r="D8" t="s">
        <v>264</v>
      </c>
      <c r="E8" s="4">
        <v>45565</v>
      </c>
      <c r="G8" t="s">
        <v>163</v>
      </c>
      <c r="H8" t="s">
        <v>78</v>
      </c>
    </row>
    <row r="9" spans="1:8" x14ac:dyDescent="0.2">
      <c r="A9">
        <v>8</v>
      </c>
      <c r="B9">
        <v>1</v>
      </c>
      <c r="C9" t="s">
        <v>275</v>
      </c>
      <c r="D9" t="s">
        <v>263</v>
      </c>
      <c r="E9" s="4">
        <v>45616</v>
      </c>
      <c r="G9" t="s">
        <v>163</v>
      </c>
      <c r="H9" t="s">
        <v>79</v>
      </c>
    </row>
    <row r="10" spans="1:8" x14ac:dyDescent="0.2">
      <c r="A10">
        <v>9</v>
      </c>
      <c r="B10">
        <v>1</v>
      </c>
      <c r="C10" t="s">
        <v>276</v>
      </c>
      <c r="D10" t="s">
        <v>260</v>
      </c>
      <c r="E10" s="4">
        <v>45565</v>
      </c>
      <c r="G10" t="s">
        <v>163</v>
      </c>
      <c r="H10" s="10" t="s">
        <v>155</v>
      </c>
    </row>
    <row r="11" spans="1:8" x14ac:dyDescent="0.2">
      <c r="A11">
        <v>10</v>
      </c>
      <c r="B11">
        <v>1</v>
      </c>
      <c r="C11" t="s">
        <v>156</v>
      </c>
      <c r="D11" t="s">
        <v>261</v>
      </c>
      <c r="E11" s="4">
        <v>45876</v>
      </c>
      <c r="G11" t="s">
        <v>163</v>
      </c>
      <c r="H11" t="s">
        <v>161</v>
      </c>
    </row>
    <row r="12" spans="1:8" x14ac:dyDescent="0.2">
      <c r="A12">
        <v>11</v>
      </c>
      <c r="B12">
        <v>1</v>
      </c>
      <c r="C12" t="s">
        <v>157</v>
      </c>
      <c r="D12" t="s">
        <v>75</v>
      </c>
      <c r="E12" s="4"/>
      <c r="G12" t="s">
        <v>164</v>
      </c>
    </row>
    <row r="13" spans="1:8" x14ac:dyDescent="0.2">
      <c r="A13">
        <v>12</v>
      </c>
      <c r="B13">
        <v>1</v>
      </c>
      <c r="C13" t="s">
        <v>158</v>
      </c>
      <c r="D13" t="s">
        <v>262</v>
      </c>
      <c r="E13" s="4">
        <v>45871</v>
      </c>
      <c r="G13" t="s">
        <v>164</v>
      </c>
    </row>
    <row r="14" spans="1:8" x14ac:dyDescent="0.2">
      <c r="A14">
        <v>13</v>
      </c>
      <c r="B14">
        <v>1</v>
      </c>
      <c r="C14" t="s">
        <v>159</v>
      </c>
      <c r="D14" t="s">
        <v>76</v>
      </c>
      <c r="E14" s="4"/>
      <c r="G14" t="s">
        <v>164</v>
      </c>
    </row>
    <row r="15" spans="1:8" x14ac:dyDescent="0.2">
      <c r="A15">
        <v>14</v>
      </c>
      <c r="B15">
        <v>1</v>
      </c>
      <c r="C15" t="s">
        <v>308</v>
      </c>
      <c r="D15" t="s">
        <v>299</v>
      </c>
      <c r="E15" s="4">
        <v>45901</v>
      </c>
      <c r="F15" s="4"/>
      <c r="G15" t="s">
        <v>163</v>
      </c>
    </row>
  </sheetData>
  <phoneticPr fontId="3" type="noConversion"/>
  <hyperlinks>
    <hyperlink ref="H4" r:id="rId1" xr:uid="{3A3D1339-01B0-104B-9555-EE1D27EED0EE}"/>
    <hyperlink ref="H5" r:id="rId2" xr:uid="{36ED96E1-AC3E-E84A-BC3F-ACF6D5826DB6}"/>
    <hyperlink ref="H8" r:id="rId3" xr:uid="{9024645F-B90B-6C49-A5AD-FBDB984D2A47}"/>
    <hyperlink ref="H9" r:id="rId4" xr:uid="{6A990671-87B8-7543-89E2-11F397485368}"/>
    <hyperlink ref="H10" r:id="rId5" xr:uid="{C273DA0B-17C9-0F49-AAE4-F1DFD24E4CA4}"/>
  </hyperlinks>
  <pageMargins left="0.7" right="0.7" top="0.75" bottom="0.75" header="0.3" footer="0.3"/>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96C1-5898-C549-BD57-20844C051C27}">
  <dimension ref="A1:B23"/>
  <sheetViews>
    <sheetView workbookViewId="0">
      <selection activeCell="B24" sqref="B24"/>
    </sheetView>
  </sheetViews>
  <sheetFormatPr baseColWidth="10" defaultRowHeight="16" x14ac:dyDescent="0.2"/>
  <cols>
    <col min="1" max="1" width="13.83203125" bestFit="1" customWidth="1"/>
    <col min="2" max="2" width="19" bestFit="1" customWidth="1"/>
  </cols>
  <sheetData>
    <row r="1" spans="1:2" x14ac:dyDescent="0.2">
      <c r="A1" t="s">
        <v>113</v>
      </c>
      <c r="B1" t="s">
        <v>132</v>
      </c>
    </row>
    <row r="2" spans="1:2" x14ac:dyDescent="0.2">
      <c r="A2">
        <v>1</v>
      </c>
      <c r="B2">
        <v>1</v>
      </c>
    </row>
    <row r="3" spans="1:2" x14ac:dyDescent="0.2">
      <c r="A3">
        <v>1</v>
      </c>
      <c r="B3">
        <v>2</v>
      </c>
    </row>
    <row r="4" spans="1:2" x14ac:dyDescent="0.2">
      <c r="A4">
        <v>2</v>
      </c>
      <c r="B4">
        <v>1</v>
      </c>
    </row>
    <row r="5" spans="1:2" x14ac:dyDescent="0.2">
      <c r="A5">
        <v>2</v>
      </c>
      <c r="B5">
        <v>2</v>
      </c>
    </row>
    <row r="6" spans="1:2" x14ac:dyDescent="0.2">
      <c r="A6">
        <v>2</v>
      </c>
      <c r="B6">
        <v>4</v>
      </c>
    </row>
    <row r="7" spans="1:2" x14ac:dyDescent="0.2">
      <c r="A7">
        <v>3</v>
      </c>
      <c r="B7">
        <v>1</v>
      </c>
    </row>
    <row r="8" spans="1:2" x14ac:dyDescent="0.2">
      <c r="A8">
        <v>3</v>
      </c>
      <c r="B8">
        <v>2</v>
      </c>
    </row>
    <row r="9" spans="1:2" x14ac:dyDescent="0.2">
      <c r="A9">
        <v>3</v>
      </c>
      <c r="B9">
        <v>4</v>
      </c>
    </row>
    <row r="10" spans="1:2" x14ac:dyDescent="0.2">
      <c r="A10">
        <v>3</v>
      </c>
      <c r="B10">
        <v>6</v>
      </c>
    </row>
    <row r="11" spans="1:2" x14ac:dyDescent="0.2">
      <c r="A11">
        <v>4</v>
      </c>
      <c r="B11">
        <v>2</v>
      </c>
    </row>
    <row r="12" spans="1:2" x14ac:dyDescent="0.2">
      <c r="A12">
        <v>5</v>
      </c>
      <c r="B12">
        <v>2</v>
      </c>
    </row>
    <row r="13" spans="1:2" x14ac:dyDescent="0.2">
      <c r="A13">
        <v>6</v>
      </c>
      <c r="B13">
        <v>2</v>
      </c>
    </row>
    <row r="14" spans="1:2" x14ac:dyDescent="0.2">
      <c r="A14">
        <v>7</v>
      </c>
      <c r="B14">
        <v>3</v>
      </c>
    </row>
    <row r="15" spans="1:2" x14ac:dyDescent="0.2">
      <c r="A15">
        <v>8</v>
      </c>
      <c r="B15">
        <v>3</v>
      </c>
    </row>
    <row r="16" spans="1:2" x14ac:dyDescent="0.2">
      <c r="A16">
        <v>9</v>
      </c>
      <c r="B16">
        <v>3</v>
      </c>
    </row>
    <row r="17" spans="1:2" x14ac:dyDescent="0.2">
      <c r="A17">
        <v>10</v>
      </c>
      <c r="B17">
        <v>4</v>
      </c>
    </row>
    <row r="18" spans="1:2" x14ac:dyDescent="0.2">
      <c r="A18">
        <v>11</v>
      </c>
      <c r="B18">
        <v>2</v>
      </c>
    </row>
    <row r="19" spans="1:2" x14ac:dyDescent="0.2">
      <c r="A19">
        <v>11</v>
      </c>
      <c r="B19">
        <v>4</v>
      </c>
    </row>
    <row r="20" spans="1:2" x14ac:dyDescent="0.2">
      <c r="A20">
        <v>12</v>
      </c>
      <c r="B20">
        <v>3</v>
      </c>
    </row>
    <row r="21" spans="1:2" x14ac:dyDescent="0.2">
      <c r="A21">
        <v>12</v>
      </c>
      <c r="B21">
        <v>4</v>
      </c>
    </row>
    <row r="22" spans="1:2" x14ac:dyDescent="0.2">
      <c r="A22">
        <v>13</v>
      </c>
      <c r="B22">
        <v>4</v>
      </c>
    </row>
    <row r="23" spans="1:2" x14ac:dyDescent="0.2">
      <c r="A23">
        <v>14</v>
      </c>
      <c r="B23">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C039-730B-9449-8AEE-126A0687A846}">
  <sheetPr codeName="Sheet11"/>
  <dimension ref="A1:E38"/>
  <sheetViews>
    <sheetView zoomScaleNormal="100" workbookViewId="0">
      <selection activeCell="E25" sqref="E25"/>
    </sheetView>
  </sheetViews>
  <sheetFormatPr baseColWidth="10" defaultRowHeight="16" x14ac:dyDescent="0.2"/>
  <cols>
    <col min="2" max="2" width="25.5" bestFit="1" customWidth="1"/>
    <col min="3" max="3" width="15.33203125" bestFit="1" customWidth="1"/>
    <col min="4" max="4" width="62" bestFit="1" customWidth="1"/>
    <col min="5" max="5" width="18.5" bestFit="1" customWidth="1"/>
    <col min="6" max="6" width="25.5" bestFit="1" customWidth="1"/>
    <col min="7" max="7" width="15.33203125" bestFit="1" customWidth="1"/>
    <col min="8" max="8" width="23.6640625" bestFit="1" customWidth="1"/>
    <col min="9" max="9" width="19.83203125" bestFit="1" customWidth="1"/>
    <col min="10" max="10" width="12" bestFit="1" customWidth="1"/>
  </cols>
  <sheetData>
    <row r="1" spans="1:5" x14ac:dyDescent="0.2">
      <c r="A1" t="s">
        <v>115</v>
      </c>
      <c r="B1" t="s">
        <v>138</v>
      </c>
      <c r="C1" t="s">
        <v>116</v>
      </c>
      <c r="D1" t="s">
        <v>112</v>
      </c>
      <c r="E1" t="s">
        <v>267</v>
      </c>
    </row>
    <row r="2" spans="1:5" x14ac:dyDescent="0.2">
      <c r="A2" s="11">
        <v>1</v>
      </c>
      <c r="B2" s="12" t="s">
        <v>131</v>
      </c>
      <c r="C2" s="15" t="s">
        <v>194</v>
      </c>
      <c r="D2" t="s">
        <v>238</v>
      </c>
      <c r="E2">
        <f>COUNTIF(Table8[skill_id],Table412[[#This Row],[skill_id]])</f>
        <v>9</v>
      </c>
    </row>
    <row r="3" spans="1:5" x14ac:dyDescent="0.2">
      <c r="A3" s="13">
        <v>2</v>
      </c>
      <c r="B3" s="14" t="s">
        <v>50</v>
      </c>
      <c r="C3" s="15" t="s">
        <v>194</v>
      </c>
      <c r="D3" t="s">
        <v>243</v>
      </c>
      <c r="E3">
        <f>COUNTIF(Table8[skill_id],Table412[[#This Row],[skill_id]])</f>
        <v>9</v>
      </c>
    </row>
    <row r="4" spans="1:5" x14ac:dyDescent="0.2">
      <c r="A4" s="11">
        <v>3</v>
      </c>
      <c r="B4" s="12" t="s">
        <v>51</v>
      </c>
      <c r="C4" s="15" t="s">
        <v>194</v>
      </c>
      <c r="D4" t="s">
        <v>239</v>
      </c>
      <c r="E4">
        <f>COUNTIF(Table8[skill_id],Table412[[#This Row],[skill_id]])</f>
        <v>13</v>
      </c>
    </row>
    <row r="5" spans="1:5" x14ac:dyDescent="0.2">
      <c r="A5" s="13">
        <v>4</v>
      </c>
      <c r="B5" s="14" t="s">
        <v>59</v>
      </c>
      <c r="C5" s="15" t="s">
        <v>194</v>
      </c>
      <c r="D5" t="s">
        <v>240</v>
      </c>
      <c r="E5">
        <f>COUNTIF(Table8[skill_id],Table412[[#This Row],[skill_id]])</f>
        <v>11</v>
      </c>
    </row>
    <row r="6" spans="1:5" x14ac:dyDescent="0.2">
      <c r="A6" s="11">
        <v>5</v>
      </c>
      <c r="B6" s="12" t="s">
        <v>52</v>
      </c>
      <c r="C6" s="15" t="s">
        <v>63</v>
      </c>
      <c r="D6" t="s">
        <v>244</v>
      </c>
      <c r="E6">
        <f>COUNTIF(Table8[skill_id],Table412[[#This Row],[skill_id]])</f>
        <v>13</v>
      </c>
    </row>
    <row r="7" spans="1:5" x14ac:dyDescent="0.2">
      <c r="A7" s="13">
        <v>6</v>
      </c>
      <c r="B7" s="14" t="s">
        <v>53</v>
      </c>
      <c r="C7" s="16" t="s">
        <v>63</v>
      </c>
      <c r="D7" t="s">
        <v>245</v>
      </c>
      <c r="E7">
        <f>COUNTIF(Table8[skill_id],Table412[[#This Row],[skill_id]])</f>
        <v>2</v>
      </c>
    </row>
    <row r="8" spans="1:5" x14ac:dyDescent="0.2">
      <c r="A8" s="11">
        <v>7</v>
      </c>
      <c r="B8" s="12" t="s">
        <v>54</v>
      </c>
      <c r="C8" s="15" t="s">
        <v>63</v>
      </c>
      <c r="D8" t="s">
        <v>241</v>
      </c>
      <c r="E8">
        <f>COUNTIF(Table8[skill_id],Table412[[#This Row],[skill_id]])</f>
        <v>9</v>
      </c>
    </row>
    <row r="9" spans="1:5" x14ac:dyDescent="0.2">
      <c r="A9" s="13">
        <v>8</v>
      </c>
      <c r="B9" s="14" t="s">
        <v>82</v>
      </c>
      <c r="C9" s="15" t="s">
        <v>194</v>
      </c>
      <c r="D9" t="s">
        <v>242</v>
      </c>
      <c r="E9">
        <f>COUNTIF(Table8[skill_id],Table412[[#This Row],[skill_id]])</f>
        <v>3</v>
      </c>
    </row>
    <row r="10" spans="1:5" x14ac:dyDescent="0.2">
      <c r="A10" s="11">
        <v>9</v>
      </c>
      <c r="B10" s="12" t="s">
        <v>55</v>
      </c>
      <c r="C10" s="29" t="s">
        <v>63</v>
      </c>
      <c r="D10" t="s">
        <v>246</v>
      </c>
      <c r="E10">
        <f>COUNTIF(Table8[skill_id],Table412[[#This Row],[skill_id]])</f>
        <v>1</v>
      </c>
    </row>
    <row r="11" spans="1:5" x14ac:dyDescent="0.2">
      <c r="A11" s="13">
        <v>10</v>
      </c>
      <c r="B11" s="14" t="s">
        <v>56</v>
      </c>
      <c r="C11" s="15" t="s">
        <v>194</v>
      </c>
      <c r="D11" t="s">
        <v>247</v>
      </c>
      <c r="E11">
        <f>COUNTIF(Table8[skill_id],Table412[[#This Row],[skill_id]])</f>
        <v>7</v>
      </c>
    </row>
    <row r="12" spans="1:5" x14ac:dyDescent="0.2">
      <c r="A12" s="18">
        <v>11</v>
      </c>
      <c r="B12" s="17" t="s">
        <v>80</v>
      </c>
      <c r="C12" s="15" t="s">
        <v>194</v>
      </c>
      <c r="D12" t="s">
        <v>248</v>
      </c>
      <c r="E12">
        <f>COUNTIF(Table8[skill_id],Table412[[#This Row],[skill_id]])</f>
        <v>3</v>
      </c>
    </row>
    <row r="13" spans="1:5" x14ac:dyDescent="0.2">
      <c r="A13" s="19">
        <v>12</v>
      </c>
      <c r="B13" t="s">
        <v>57</v>
      </c>
      <c r="C13" s="15" t="s">
        <v>194</v>
      </c>
      <c r="D13" t="s">
        <v>249</v>
      </c>
      <c r="E13">
        <f>COUNTIF(Table8[skill_id],Table412[[#This Row],[skill_id]])</f>
        <v>7</v>
      </c>
    </row>
    <row r="14" spans="1:5" x14ac:dyDescent="0.2">
      <c r="A14" s="18">
        <v>13</v>
      </c>
      <c r="B14" s="21" t="s">
        <v>201</v>
      </c>
      <c r="C14" s="15" t="s">
        <v>194</v>
      </c>
      <c r="D14" t="s">
        <v>250</v>
      </c>
      <c r="E14">
        <f>COUNTIF(Table8[skill_id],Table412[[#This Row],[skill_id]])</f>
        <v>5</v>
      </c>
    </row>
    <row r="15" spans="1:5" x14ac:dyDescent="0.2">
      <c r="A15" s="19">
        <v>14</v>
      </c>
      <c r="B15" t="s">
        <v>196</v>
      </c>
      <c r="C15" s="32" t="s">
        <v>63</v>
      </c>
      <c r="D15" t="s">
        <v>251</v>
      </c>
      <c r="E15">
        <f>COUNTIF(Table8[skill_id],Table412[[#This Row],[skill_id]])</f>
        <v>3</v>
      </c>
    </row>
    <row r="16" spans="1:5" x14ac:dyDescent="0.2">
      <c r="A16" s="18">
        <v>15</v>
      </c>
      <c r="B16" s="17" t="s">
        <v>81</v>
      </c>
      <c r="C16" s="32" t="s">
        <v>63</v>
      </c>
      <c r="D16" t="s">
        <v>268</v>
      </c>
      <c r="E16">
        <f>COUNTIF(Table8[skill_id],Table412[[#This Row],[skill_id]])</f>
        <v>12</v>
      </c>
    </row>
    <row r="17" spans="1:5" x14ac:dyDescent="0.2">
      <c r="A17" s="13">
        <v>16</v>
      </c>
      <c r="B17" s="14" t="s">
        <v>84</v>
      </c>
      <c r="C17" s="16" t="s">
        <v>195</v>
      </c>
      <c r="D17" t="s">
        <v>252</v>
      </c>
      <c r="E17">
        <f>COUNTIF(Table8[skill_id],Table412[[#This Row],[skill_id]])</f>
        <v>7</v>
      </c>
    </row>
    <row r="18" spans="1:5" x14ac:dyDescent="0.2">
      <c r="A18" s="13">
        <v>17</v>
      </c>
      <c r="B18" s="14" t="s">
        <v>127</v>
      </c>
      <c r="C18" s="16" t="s">
        <v>195</v>
      </c>
      <c r="D18" t="s">
        <v>253</v>
      </c>
      <c r="E18">
        <f>COUNTIF(Table8[skill_id],Table412[[#This Row],[skill_id]])</f>
        <v>6</v>
      </c>
    </row>
    <row r="19" spans="1:5" x14ac:dyDescent="0.2">
      <c r="A19" s="13">
        <v>18</v>
      </c>
      <c r="B19" s="14" t="s">
        <v>128</v>
      </c>
      <c r="C19" s="16" t="s">
        <v>195</v>
      </c>
      <c r="D19" t="s">
        <v>254</v>
      </c>
      <c r="E19">
        <f>COUNTIF(Table8[skill_id],Table412[[#This Row],[skill_id]])</f>
        <v>4</v>
      </c>
    </row>
    <row r="20" spans="1:5" x14ac:dyDescent="0.2">
      <c r="A20" s="13">
        <v>19</v>
      </c>
      <c r="B20" s="14" t="s">
        <v>130</v>
      </c>
      <c r="C20" s="16" t="s">
        <v>195</v>
      </c>
      <c r="D20" t="s">
        <v>255</v>
      </c>
      <c r="E20">
        <f>COUNTIF(Table8[skill_id],Table412[[#This Row],[skill_id]])</f>
        <v>5</v>
      </c>
    </row>
    <row r="21" spans="1:5" x14ac:dyDescent="0.2">
      <c r="A21" s="13">
        <v>20</v>
      </c>
      <c r="B21" s="14" t="s">
        <v>129</v>
      </c>
      <c r="C21" s="16" t="s">
        <v>195</v>
      </c>
      <c r="D21" t="s">
        <v>256</v>
      </c>
      <c r="E21">
        <f>COUNTIF(Table8[skill_id],Table412[[#This Row],[skill_id]])</f>
        <v>3</v>
      </c>
    </row>
    <row r="22" spans="1:5" x14ac:dyDescent="0.2">
      <c r="A22" s="20">
        <v>21</v>
      </c>
      <c r="B22" s="21" t="s">
        <v>85</v>
      </c>
      <c r="C22" s="16" t="s">
        <v>195</v>
      </c>
      <c r="D22" t="s">
        <v>257</v>
      </c>
      <c r="E22">
        <f>COUNTIF(Table8[skill_id],Table412[[#This Row],[skill_id]])</f>
        <v>4</v>
      </c>
    </row>
    <row r="23" spans="1:5" x14ac:dyDescent="0.2">
      <c r="A23" s="20">
        <v>22</v>
      </c>
      <c r="B23" s="21" t="s">
        <v>200</v>
      </c>
      <c r="C23" s="15" t="s">
        <v>194</v>
      </c>
      <c r="D23" t="s">
        <v>258</v>
      </c>
      <c r="E23">
        <f>COUNTIF(Table8[skill_id],Table412[[#This Row],[skill_id]])</f>
        <v>10</v>
      </c>
    </row>
    <row r="24" spans="1:5" x14ac:dyDescent="0.2">
      <c r="A24" s="20">
        <v>23</v>
      </c>
      <c r="B24" s="21" t="s">
        <v>203</v>
      </c>
      <c r="C24" s="33" t="s">
        <v>194</v>
      </c>
      <c r="D24" t="s">
        <v>259</v>
      </c>
      <c r="E24">
        <f>COUNTIF(Table8[skill_id],Table412[[#This Row],[skill_id]])</f>
        <v>4</v>
      </c>
    </row>
    <row r="25" spans="1:5" x14ac:dyDescent="0.2">
      <c r="A25" s="20">
        <v>24</v>
      </c>
      <c r="B25" s="21" t="s">
        <v>300</v>
      </c>
      <c r="C25" s="33" t="s">
        <v>194</v>
      </c>
      <c r="D25" t="s">
        <v>301</v>
      </c>
      <c r="E25">
        <f>COUNTIF(Table8[skill_id],Table412[[#This Row],[skill_id]])</f>
        <v>5</v>
      </c>
    </row>
    <row r="31" spans="1:5" x14ac:dyDescent="0.2">
      <c r="C31" s="30"/>
    </row>
    <row r="32" spans="1:5" x14ac:dyDescent="0.2">
      <c r="C32" s="30"/>
    </row>
    <row r="33" spans="3:3" x14ac:dyDescent="0.2">
      <c r="C33" s="30"/>
    </row>
    <row r="36" spans="3:3" x14ac:dyDescent="0.2">
      <c r="C36" s="31"/>
    </row>
    <row r="37" spans="3:3" x14ac:dyDescent="0.2">
      <c r="C37" s="31"/>
    </row>
    <row r="38" spans="3:3" x14ac:dyDescent="0.2">
      <c r="C38" s="3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4A1C-67CC-0446-A21E-A9C26D83AD6C}">
  <sheetPr codeName="Sheet12"/>
  <dimension ref="A1:J25"/>
  <sheetViews>
    <sheetView workbookViewId="0">
      <selection activeCell="C6" sqref="C6"/>
    </sheetView>
  </sheetViews>
  <sheetFormatPr baseColWidth="10" defaultRowHeight="16" x14ac:dyDescent="0.2"/>
  <cols>
    <col min="1" max="1" width="12" customWidth="1"/>
    <col min="2" max="2" width="14.1640625" customWidth="1"/>
    <col min="3" max="3" width="18" customWidth="1"/>
    <col min="4" max="4" width="7" bestFit="1" customWidth="1"/>
    <col min="5" max="5" width="25.5" bestFit="1" customWidth="1"/>
    <col min="6" max="6" width="18.83203125" customWidth="1"/>
    <col min="7" max="7" width="23.6640625" bestFit="1" customWidth="1"/>
    <col min="8" max="8" width="19.83203125" bestFit="1" customWidth="1"/>
    <col min="9" max="9" width="12" bestFit="1" customWidth="1"/>
  </cols>
  <sheetData>
    <row r="1" spans="1:10" x14ac:dyDescent="0.2">
      <c r="A1" t="s">
        <v>103</v>
      </c>
      <c r="B1" t="s">
        <v>115</v>
      </c>
      <c r="C1" t="s">
        <v>117</v>
      </c>
      <c r="D1" s="9"/>
      <c r="E1" s="9"/>
      <c r="F1" s="9"/>
      <c r="G1" s="9"/>
      <c r="H1" s="9"/>
      <c r="I1" s="9"/>
      <c r="J1" s="9"/>
    </row>
    <row r="2" spans="1:10" x14ac:dyDescent="0.2">
      <c r="A2">
        <v>1</v>
      </c>
      <c r="B2">
        <v>1</v>
      </c>
      <c r="C2">
        <v>9</v>
      </c>
    </row>
    <row r="3" spans="1:10" x14ac:dyDescent="0.2">
      <c r="A3">
        <v>1</v>
      </c>
      <c r="B3">
        <v>2</v>
      </c>
      <c r="C3">
        <v>9</v>
      </c>
    </row>
    <row r="4" spans="1:10" x14ac:dyDescent="0.2">
      <c r="A4">
        <v>1</v>
      </c>
      <c r="B4">
        <v>3</v>
      </c>
      <c r="C4">
        <v>10</v>
      </c>
    </row>
    <row r="5" spans="1:10" x14ac:dyDescent="0.2">
      <c r="A5">
        <v>1</v>
      </c>
      <c r="B5">
        <v>4</v>
      </c>
      <c r="C5">
        <v>10</v>
      </c>
    </row>
    <row r="6" spans="1:10" x14ac:dyDescent="0.2">
      <c r="A6">
        <v>1</v>
      </c>
      <c r="B6">
        <v>5</v>
      </c>
      <c r="C6">
        <v>8</v>
      </c>
    </row>
    <row r="7" spans="1:10" x14ac:dyDescent="0.2">
      <c r="A7">
        <v>1</v>
      </c>
      <c r="B7">
        <v>6</v>
      </c>
      <c r="C7">
        <v>7</v>
      </c>
    </row>
    <row r="8" spans="1:10" x14ac:dyDescent="0.2">
      <c r="A8">
        <v>1</v>
      </c>
      <c r="B8">
        <v>7</v>
      </c>
      <c r="C8">
        <v>9</v>
      </c>
    </row>
    <row r="9" spans="1:10" x14ac:dyDescent="0.2">
      <c r="A9">
        <v>1</v>
      </c>
      <c r="B9">
        <v>8</v>
      </c>
      <c r="C9">
        <v>7</v>
      </c>
    </row>
    <row r="10" spans="1:10" x14ac:dyDescent="0.2">
      <c r="A10">
        <v>1</v>
      </c>
      <c r="B10">
        <v>9</v>
      </c>
      <c r="C10">
        <v>8</v>
      </c>
    </row>
    <row r="11" spans="1:10" x14ac:dyDescent="0.2">
      <c r="A11">
        <v>1</v>
      </c>
      <c r="B11">
        <v>10</v>
      </c>
      <c r="C11">
        <v>9</v>
      </c>
    </row>
    <row r="12" spans="1:10" x14ac:dyDescent="0.2">
      <c r="A12">
        <v>1</v>
      </c>
      <c r="B12">
        <v>11</v>
      </c>
      <c r="C12">
        <v>6</v>
      </c>
    </row>
    <row r="13" spans="1:10" x14ac:dyDescent="0.2">
      <c r="A13">
        <v>1</v>
      </c>
      <c r="B13">
        <v>12</v>
      </c>
      <c r="C13">
        <v>8</v>
      </c>
    </row>
    <row r="14" spans="1:10" x14ac:dyDescent="0.2">
      <c r="A14">
        <v>1</v>
      </c>
      <c r="B14">
        <v>13</v>
      </c>
      <c r="C14">
        <v>7</v>
      </c>
    </row>
    <row r="15" spans="1:10" x14ac:dyDescent="0.2">
      <c r="A15">
        <v>1</v>
      </c>
      <c r="B15">
        <v>14</v>
      </c>
      <c r="C15">
        <v>6</v>
      </c>
    </row>
    <row r="16" spans="1:10" x14ac:dyDescent="0.2">
      <c r="A16">
        <v>1</v>
      </c>
      <c r="B16">
        <v>15</v>
      </c>
      <c r="C16">
        <v>10</v>
      </c>
    </row>
    <row r="17" spans="1:3" x14ac:dyDescent="0.2">
      <c r="A17">
        <v>1</v>
      </c>
      <c r="B17">
        <v>16</v>
      </c>
      <c r="C17">
        <v>10</v>
      </c>
    </row>
    <row r="18" spans="1:3" x14ac:dyDescent="0.2">
      <c r="A18">
        <v>1</v>
      </c>
      <c r="B18">
        <v>17</v>
      </c>
      <c r="C18">
        <v>9</v>
      </c>
    </row>
    <row r="19" spans="1:3" x14ac:dyDescent="0.2">
      <c r="A19">
        <v>1</v>
      </c>
      <c r="B19">
        <v>18</v>
      </c>
      <c r="C19">
        <v>8</v>
      </c>
    </row>
    <row r="20" spans="1:3" x14ac:dyDescent="0.2">
      <c r="A20">
        <v>1</v>
      </c>
      <c r="B20">
        <v>19</v>
      </c>
      <c r="C20">
        <v>8</v>
      </c>
    </row>
    <row r="21" spans="1:3" x14ac:dyDescent="0.2">
      <c r="A21">
        <v>1</v>
      </c>
      <c r="B21">
        <v>20</v>
      </c>
      <c r="C21">
        <v>7</v>
      </c>
    </row>
    <row r="22" spans="1:3" x14ac:dyDescent="0.2">
      <c r="A22">
        <v>1</v>
      </c>
      <c r="B22">
        <v>21</v>
      </c>
      <c r="C22">
        <v>6</v>
      </c>
    </row>
    <row r="23" spans="1:3" x14ac:dyDescent="0.2">
      <c r="A23">
        <v>1</v>
      </c>
      <c r="B23">
        <v>22</v>
      </c>
      <c r="C23">
        <v>8</v>
      </c>
    </row>
    <row r="24" spans="1:3" x14ac:dyDescent="0.2">
      <c r="A24">
        <v>1</v>
      </c>
      <c r="B24">
        <v>23</v>
      </c>
      <c r="C24">
        <v>7</v>
      </c>
    </row>
    <row r="25" spans="1:3" x14ac:dyDescent="0.2">
      <c r="A25">
        <v>1</v>
      </c>
      <c r="B25">
        <v>24</v>
      </c>
      <c r="C25">
        <v>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C091-0337-EE42-81A2-CB3A7445D977}">
  <sheetPr codeName="Sheet10"/>
  <dimension ref="A1:B156"/>
  <sheetViews>
    <sheetView workbookViewId="0">
      <selection activeCell="B157" sqref="B157"/>
    </sheetView>
  </sheetViews>
  <sheetFormatPr baseColWidth="10" defaultRowHeight="16" x14ac:dyDescent="0.2"/>
  <cols>
    <col min="1" max="1" width="13.5" bestFit="1" customWidth="1"/>
    <col min="2" max="2" width="9.83203125" bestFit="1" customWidth="1"/>
  </cols>
  <sheetData>
    <row r="1" spans="1:2" x14ac:dyDescent="0.2">
      <c r="A1" t="s">
        <v>113</v>
      </c>
      <c r="B1" t="s">
        <v>115</v>
      </c>
    </row>
    <row r="2" spans="1:2" x14ac:dyDescent="0.2">
      <c r="A2">
        <v>1</v>
      </c>
      <c r="B2">
        <v>3</v>
      </c>
    </row>
    <row r="3" spans="1:2" x14ac:dyDescent="0.2">
      <c r="A3">
        <v>1</v>
      </c>
      <c r="B3">
        <v>5</v>
      </c>
    </row>
    <row r="4" spans="1:2" x14ac:dyDescent="0.2">
      <c r="A4">
        <v>1</v>
      </c>
      <c r="B4">
        <v>7</v>
      </c>
    </row>
    <row r="5" spans="1:2" x14ac:dyDescent="0.2">
      <c r="A5">
        <v>1</v>
      </c>
      <c r="B5">
        <v>10</v>
      </c>
    </row>
    <row r="6" spans="1:2" x14ac:dyDescent="0.2">
      <c r="A6">
        <v>1</v>
      </c>
      <c r="B6">
        <v>16</v>
      </c>
    </row>
    <row r="7" spans="1:2" x14ac:dyDescent="0.2">
      <c r="A7">
        <v>1</v>
      </c>
      <c r="B7">
        <v>17</v>
      </c>
    </row>
    <row r="8" spans="1:2" x14ac:dyDescent="0.2">
      <c r="A8">
        <v>2</v>
      </c>
      <c r="B8">
        <v>1</v>
      </c>
    </row>
    <row r="9" spans="1:2" x14ac:dyDescent="0.2">
      <c r="A9">
        <v>2</v>
      </c>
      <c r="B9">
        <v>2</v>
      </c>
    </row>
    <row r="10" spans="1:2" x14ac:dyDescent="0.2">
      <c r="A10">
        <v>2</v>
      </c>
      <c r="B10">
        <v>3</v>
      </c>
    </row>
    <row r="11" spans="1:2" x14ac:dyDescent="0.2">
      <c r="A11">
        <v>2</v>
      </c>
      <c r="B11">
        <v>5</v>
      </c>
    </row>
    <row r="12" spans="1:2" x14ac:dyDescent="0.2">
      <c r="A12">
        <v>2</v>
      </c>
      <c r="B12">
        <v>7</v>
      </c>
    </row>
    <row r="13" spans="1:2" x14ac:dyDescent="0.2">
      <c r="A13">
        <v>2</v>
      </c>
      <c r="B13">
        <v>10</v>
      </c>
    </row>
    <row r="14" spans="1:2" x14ac:dyDescent="0.2">
      <c r="A14">
        <v>2</v>
      </c>
      <c r="B14">
        <v>12</v>
      </c>
    </row>
    <row r="15" spans="1:2" x14ac:dyDescent="0.2">
      <c r="A15">
        <v>2</v>
      </c>
      <c r="B15">
        <v>15</v>
      </c>
    </row>
    <row r="16" spans="1:2" x14ac:dyDescent="0.2">
      <c r="A16">
        <v>2</v>
      </c>
      <c r="B16">
        <v>16</v>
      </c>
    </row>
    <row r="17" spans="1:2" x14ac:dyDescent="0.2">
      <c r="A17">
        <v>2</v>
      </c>
      <c r="B17">
        <v>17</v>
      </c>
    </row>
    <row r="18" spans="1:2" x14ac:dyDescent="0.2">
      <c r="A18">
        <v>2</v>
      </c>
      <c r="B18">
        <v>19</v>
      </c>
    </row>
    <row r="19" spans="1:2" x14ac:dyDescent="0.2">
      <c r="A19">
        <v>2</v>
      </c>
      <c r="B19">
        <v>20</v>
      </c>
    </row>
    <row r="20" spans="1:2" x14ac:dyDescent="0.2">
      <c r="A20">
        <v>3</v>
      </c>
      <c r="B20">
        <v>1</v>
      </c>
    </row>
    <row r="21" spans="1:2" x14ac:dyDescent="0.2">
      <c r="A21">
        <v>3</v>
      </c>
      <c r="B21">
        <v>2</v>
      </c>
    </row>
    <row r="22" spans="1:2" x14ac:dyDescent="0.2">
      <c r="A22">
        <v>3</v>
      </c>
      <c r="B22">
        <v>3</v>
      </c>
    </row>
    <row r="23" spans="1:2" x14ac:dyDescent="0.2">
      <c r="A23">
        <v>3</v>
      </c>
      <c r="B23">
        <v>4</v>
      </c>
    </row>
    <row r="24" spans="1:2" x14ac:dyDescent="0.2">
      <c r="A24">
        <v>3</v>
      </c>
      <c r="B24">
        <v>5</v>
      </c>
    </row>
    <row r="25" spans="1:2" x14ac:dyDescent="0.2">
      <c r="A25">
        <v>3</v>
      </c>
      <c r="B25">
        <v>6</v>
      </c>
    </row>
    <row r="26" spans="1:2" x14ac:dyDescent="0.2">
      <c r="A26">
        <v>3</v>
      </c>
      <c r="B26">
        <v>7</v>
      </c>
    </row>
    <row r="27" spans="1:2" x14ac:dyDescent="0.2">
      <c r="A27">
        <v>3</v>
      </c>
      <c r="B27">
        <v>9</v>
      </c>
    </row>
    <row r="28" spans="1:2" x14ac:dyDescent="0.2">
      <c r="A28">
        <v>3</v>
      </c>
      <c r="B28">
        <v>10</v>
      </c>
    </row>
    <row r="29" spans="1:2" x14ac:dyDescent="0.2">
      <c r="A29">
        <v>3</v>
      </c>
      <c r="B29">
        <v>13</v>
      </c>
    </row>
    <row r="30" spans="1:2" x14ac:dyDescent="0.2">
      <c r="A30">
        <v>3</v>
      </c>
      <c r="B30">
        <v>12</v>
      </c>
    </row>
    <row r="31" spans="1:2" x14ac:dyDescent="0.2">
      <c r="A31">
        <v>3</v>
      </c>
      <c r="B31">
        <v>15</v>
      </c>
    </row>
    <row r="32" spans="1:2" x14ac:dyDescent="0.2">
      <c r="A32">
        <v>3</v>
      </c>
      <c r="B32">
        <v>16</v>
      </c>
    </row>
    <row r="33" spans="1:2" x14ac:dyDescent="0.2">
      <c r="A33">
        <v>3</v>
      </c>
      <c r="B33">
        <v>17</v>
      </c>
    </row>
    <row r="34" spans="1:2" x14ac:dyDescent="0.2">
      <c r="A34">
        <v>3</v>
      </c>
      <c r="B34">
        <v>18</v>
      </c>
    </row>
    <row r="35" spans="1:2" x14ac:dyDescent="0.2">
      <c r="A35">
        <v>3</v>
      </c>
      <c r="B35">
        <v>19</v>
      </c>
    </row>
    <row r="36" spans="1:2" x14ac:dyDescent="0.2">
      <c r="A36">
        <v>3</v>
      </c>
      <c r="B36">
        <v>20</v>
      </c>
    </row>
    <row r="37" spans="1:2" x14ac:dyDescent="0.2">
      <c r="A37">
        <v>3</v>
      </c>
      <c r="B37">
        <v>21</v>
      </c>
    </row>
    <row r="38" spans="1:2" x14ac:dyDescent="0.2">
      <c r="A38">
        <v>4</v>
      </c>
      <c r="B38">
        <v>1</v>
      </c>
    </row>
    <row r="39" spans="1:2" x14ac:dyDescent="0.2">
      <c r="A39">
        <v>4</v>
      </c>
      <c r="B39">
        <v>2</v>
      </c>
    </row>
    <row r="40" spans="1:2" x14ac:dyDescent="0.2">
      <c r="A40">
        <v>4</v>
      </c>
      <c r="B40">
        <v>3</v>
      </c>
    </row>
    <row r="41" spans="1:2" x14ac:dyDescent="0.2">
      <c r="A41">
        <v>4</v>
      </c>
      <c r="B41">
        <v>4</v>
      </c>
    </row>
    <row r="42" spans="1:2" x14ac:dyDescent="0.2">
      <c r="A42">
        <v>4</v>
      </c>
      <c r="B42">
        <v>5</v>
      </c>
    </row>
    <row r="43" spans="1:2" x14ac:dyDescent="0.2">
      <c r="A43">
        <v>4</v>
      </c>
      <c r="B43">
        <v>7</v>
      </c>
    </row>
    <row r="44" spans="1:2" x14ac:dyDescent="0.2">
      <c r="A44">
        <v>4</v>
      </c>
      <c r="B44">
        <v>10</v>
      </c>
    </row>
    <row r="45" spans="1:2" x14ac:dyDescent="0.2">
      <c r="A45">
        <v>4</v>
      </c>
      <c r="B45">
        <v>12</v>
      </c>
    </row>
    <row r="46" spans="1:2" x14ac:dyDescent="0.2">
      <c r="A46">
        <v>4</v>
      </c>
      <c r="B46">
        <v>15</v>
      </c>
    </row>
    <row r="47" spans="1:2" x14ac:dyDescent="0.2">
      <c r="A47">
        <v>4</v>
      </c>
      <c r="B47">
        <v>16</v>
      </c>
    </row>
    <row r="48" spans="1:2" x14ac:dyDescent="0.2">
      <c r="A48">
        <v>4</v>
      </c>
      <c r="B48">
        <v>17</v>
      </c>
    </row>
    <row r="49" spans="1:2" x14ac:dyDescent="0.2">
      <c r="A49">
        <v>4</v>
      </c>
      <c r="B49">
        <v>18</v>
      </c>
    </row>
    <row r="50" spans="1:2" x14ac:dyDescent="0.2">
      <c r="A50">
        <v>4</v>
      </c>
      <c r="B50">
        <v>19</v>
      </c>
    </row>
    <row r="51" spans="1:2" x14ac:dyDescent="0.2">
      <c r="A51">
        <v>4</v>
      </c>
      <c r="B51">
        <v>21</v>
      </c>
    </row>
    <row r="52" spans="1:2" x14ac:dyDescent="0.2">
      <c r="A52">
        <v>5</v>
      </c>
      <c r="B52">
        <v>1</v>
      </c>
    </row>
    <row r="53" spans="1:2" x14ac:dyDescent="0.2">
      <c r="A53">
        <v>5</v>
      </c>
      <c r="B53">
        <v>2</v>
      </c>
    </row>
    <row r="54" spans="1:2" x14ac:dyDescent="0.2">
      <c r="A54">
        <v>5</v>
      </c>
      <c r="B54">
        <v>3</v>
      </c>
    </row>
    <row r="55" spans="1:2" x14ac:dyDescent="0.2">
      <c r="A55">
        <v>5</v>
      </c>
      <c r="B55">
        <v>4</v>
      </c>
    </row>
    <row r="56" spans="1:2" x14ac:dyDescent="0.2">
      <c r="A56">
        <v>5</v>
      </c>
      <c r="B56">
        <v>5</v>
      </c>
    </row>
    <row r="57" spans="1:2" x14ac:dyDescent="0.2">
      <c r="A57">
        <v>5</v>
      </c>
      <c r="B57">
        <v>7</v>
      </c>
    </row>
    <row r="58" spans="1:2" x14ac:dyDescent="0.2">
      <c r="A58">
        <v>5</v>
      </c>
      <c r="B58">
        <v>10</v>
      </c>
    </row>
    <row r="59" spans="1:2" x14ac:dyDescent="0.2">
      <c r="A59">
        <v>5</v>
      </c>
      <c r="B59">
        <v>12</v>
      </c>
    </row>
    <row r="60" spans="1:2" x14ac:dyDescent="0.2">
      <c r="A60">
        <v>5</v>
      </c>
      <c r="B60">
        <v>15</v>
      </c>
    </row>
    <row r="61" spans="1:2" x14ac:dyDescent="0.2">
      <c r="A61">
        <v>5</v>
      </c>
      <c r="B61">
        <v>16</v>
      </c>
    </row>
    <row r="62" spans="1:2" x14ac:dyDescent="0.2">
      <c r="A62">
        <v>5</v>
      </c>
      <c r="B62">
        <v>17</v>
      </c>
    </row>
    <row r="63" spans="1:2" x14ac:dyDescent="0.2">
      <c r="A63">
        <v>5</v>
      </c>
      <c r="B63">
        <v>18</v>
      </c>
    </row>
    <row r="64" spans="1:2" x14ac:dyDescent="0.2">
      <c r="A64">
        <v>5</v>
      </c>
      <c r="B64">
        <v>19</v>
      </c>
    </row>
    <row r="65" spans="1:2" x14ac:dyDescent="0.2">
      <c r="A65">
        <v>5</v>
      </c>
      <c r="B65">
        <v>21</v>
      </c>
    </row>
    <row r="66" spans="1:2" x14ac:dyDescent="0.2">
      <c r="A66">
        <v>6</v>
      </c>
      <c r="B66">
        <v>1</v>
      </c>
    </row>
    <row r="67" spans="1:2" x14ac:dyDescent="0.2">
      <c r="A67">
        <v>6</v>
      </c>
      <c r="B67">
        <v>2</v>
      </c>
    </row>
    <row r="68" spans="1:2" x14ac:dyDescent="0.2">
      <c r="A68">
        <v>6</v>
      </c>
      <c r="B68">
        <v>3</v>
      </c>
    </row>
    <row r="69" spans="1:2" x14ac:dyDescent="0.2">
      <c r="A69">
        <v>6</v>
      </c>
      <c r="B69">
        <v>4</v>
      </c>
    </row>
    <row r="70" spans="1:2" x14ac:dyDescent="0.2">
      <c r="A70">
        <v>6</v>
      </c>
      <c r="B70">
        <v>5</v>
      </c>
    </row>
    <row r="71" spans="1:2" x14ac:dyDescent="0.2">
      <c r="A71">
        <v>6</v>
      </c>
      <c r="B71">
        <v>7</v>
      </c>
    </row>
    <row r="72" spans="1:2" x14ac:dyDescent="0.2">
      <c r="A72">
        <v>6</v>
      </c>
      <c r="B72">
        <v>10</v>
      </c>
    </row>
    <row r="73" spans="1:2" x14ac:dyDescent="0.2">
      <c r="A73">
        <v>6</v>
      </c>
      <c r="B73">
        <v>12</v>
      </c>
    </row>
    <row r="74" spans="1:2" x14ac:dyDescent="0.2">
      <c r="A74">
        <v>6</v>
      </c>
      <c r="B74">
        <v>15</v>
      </c>
    </row>
    <row r="75" spans="1:2" x14ac:dyDescent="0.2">
      <c r="A75">
        <v>6</v>
      </c>
      <c r="B75">
        <v>16</v>
      </c>
    </row>
    <row r="76" spans="1:2" x14ac:dyDescent="0.2">
      <c r="A76">
        <v>6</v>
      </c>
      <c r="B76">
        <v>17</v>
      </c>
    </row>
    <row r="77" spans="1:2" x14ac:dyDescent="0.2">
      <c r="A77">
        <v>6</v>
      </c>
      <c r="B77">
        <v>18</v>
      </c>
    </row>
    <row r="78" spans="1:2" x14ac:dyDescent="0.2">
      <c r="A78">
        <v>6</v>
      </c>
      <c r="B78">
        <v>19</v>
      </c>
    </row>
    <row r="79" spans="1:2" x14ac:dyDescent="0.2">
      <c r="A79">
        <v>6</v>
      </c>
      <c r="B79">
        <v>20</v>
      </c>
    </row>
    <row r="80" spans="1:2" x14ac:dyDescent="0.2">
      <c r="A80">
        <v>6</v>
      </c>
      <c r="B80">
        <v>21</v>
      </c>
    </row>
    <row r="81" spans="1:2" x14ac:dyDescent="0.2">
      <c r="A81">
        <v>7</v>
      </c>
      <c r="B81">
        <v>3</v>
      </c>
    </row>
    <row r="82" spans="1:2" x14ac:dyDescent="0.2">
      <c r="A82">
        <v>7</v>
      </c>
      <c r="B82">
        <v>4</v>
      </c>
    </row>
    <row r="83" spans="1:2" x14ac:dyDescent="0.2">
      <c r="A83">
        <v>7</v>
      </c>
      <c r="B83">
        <v>5</v>
      </c>
    </row>
    <row r="84" spans="1:2" x14ac:dyDescent="0.2">
      <c r="A84">
        <v>7</v>
      </c>
      <c r="B84">
        <v>7</v>
      </c>
    </row>
    <row r="85" spans="1:2" x14ac:dyDescent="0.2">
      <c r="A85">
        <v>7</v>
      </c>
      <c r="B85">
        <v>8</v>
      </c>
    </row>
    <row r="86" spans="1:2" x14ac:dyDescent="0.2">
      <c r="A86">
        <v>7</v>
      </c>
      <c r="B86">
        <v>11</v>
      </c>
    </row>
    <row r="87" spans="1:2" x14ac:dyDescent="0.2">
      <c r="A87">
        <v>7</v>
      </c>
      <c r="B87">
        <v>13</v>
      </c>
    </row>
    <row r="88" spans="1:2" x14ac:dyDescent="0.2">
      <c r="A88">
        <v>7</v>
      </c>
      <c r="B88">
        <v>14</v>
      </c>
    </row>
    <row r="89" spans="1:2" x14ac:dyDescent="0.2">
      <c r="A89">
        <v>7</v>
      </c>
      <c r="B89">
        <v>15</v>
      </c>
    </row>
    <row r="90" spans="1:2" x14ac:dyDescent="0.2">
      <c r="A90">
        <v>8</v>
      </c>
      <c r="B90">
        <v>3</v>
      </c>
    </row>
    <row r="91" spans="1:2" x14ac:dyDescent="0.2">
      <c r="A91">
        <v>8</v>
      </c>
      <c r="B91">
        <v>4</v>
      </c>
    </row>
    <row r="92" spans="1:2" x14ac:dyDescent="0.2">
      <c r="A92">
        <v>8</v>
      </c>
      <c r="B92">
        <v>5</v>
      </c>
    </row>
    <row r="93" spans="1:2" x14ac:dyDescent="0.2">
      <c r="A93">
        <v>8</v>
      </c>
      <c r="B93">
        <v>7</v>
      </c>
    </row>
    <row r="94" spans="1:2" x14ac:dyDescent="0.2">
      <c r="A94">
        <v>8</v>
      </c>
      <c r="B94">
        <v>8</v>
      </c>
    </row>
    <row r="95" spans="1:2" x14ac:dyDescent="0.2">
      <c r="A95">
        <v>8</v>
      </c>
      <c r="B95">
        <v>11</v>
      </c>
    </row>
    <row r="96" spans="1:2" x14ac:dyDescent="0.2">
      <c r="A96">
        <v>8</v>
      </c>
      <c r="B96">
        <v>13</v>
      </c>
    </row>
    <row r="97" spans="1:2" x14ac:dyDescent="0.2">
      <c r="A97">
        <v>8</v>
      </c>
      <c r="B97">
        <v>14</v>
      </c>
    </row>
    <row r="98" spans="1:2" x14ac:dyDescent="0.2">
      <c r="A98">
        <v>8</v>
      </c>
      <c r="B98">
        <v>15</v>
      </c>
    </row>
    <row r="99" spans="1:2" x14ac:dyDescent="0.2">
      <c r="A99">
        <v>9</v>
      </c>
      <c r="B99">
        <v>3</v>
      </c>
    </row>
    <row r="100" spans="1:2" x14ac:dyDescent="0.2">
      <c r="A100">
        <v>9</v>
      </c>
      <c r="B100">
        <v>4</v>
      </c>
    </row>
    <row r="101" spans="1:2" x14ac:dyDescent="0.2">
      <c r="A101">
        <v>9</v>
      </c>
      <c r="B101">
        <v>5</v>
      </c>
    </row>
    <row r="102" spans="1:2" x14ac:dyDescent="0.2">
      <c r="A102">
        <v>9</v>
      </c>
      <c r="B102">
        <v>6</v>
      </c>
    </row>
    <row r="103" spans="1:2" x14ac:dyDescent="0.2">
      <c r="A103">
        <v>9</v>
      </c>
      <c r="B103">
        <v>7</v>
      </c>
    </row>
    <row r="104" spans="1:2" x14ac:dyDescent="0.2">
      <c r="A104">
        <v>9</v>
      </c>
      <c r="B104">
        <v>8</v>
      </c>
    </row>
    <row r="105" spans="1:2" x14ac:dyDescent="0.2">
      <c r="A105">
        <v>9</v>
      </c>
      <c r="B105">
        <v>11</v>
      </c>
    </row>
    <row r="106" spans="1:2" x14ac:dyDescent="0.2">
      <c r="A106">
        <v>9</v>
      </c>
      <c r="B106">
        <v>13</v>
      </c>
    </row>
    <row r="107" spans="1:2" x14ac:dyDescent="0.2">
      <c r="A107">
        <v>9</v>
      </c>
      <c r="B107">
        <v>14</v>
      </c>
    </row>
    <row r="108" spans="1:2" x14ac:dyDescent="0.2">
      <c r="A108">
        <v>9</v>
      </c>
      <c r="B108">
        <v>15</v>
      </c>
    </row>
    <row r="109" spans="1:2" x14ac:dyDescent="0.2">
      <c r="A109">
        <v>9</v>
      </c>
      <c r="B109">
        <v>16</v>
      </c>
    </row>
    <row r="110" spans="1:2" x14ac:dyDescent="0.2">
      <c r="A110">
        <v>10</v>
      </c>
      <c r="B110">
        <v>1</v>
      </c>
    </row>
    <row r="111" spans="1:2" x14ac:dyDescent="0.2">
      <c r="A111">
        <v>10</v>
      </c>
      <c r="B111">
        <v>2</v>
      </c>
    </row>
    <row r="112" spans="1:2" x14ac:dyDescent="0.2">
      <c r="A112">
        <v>10</v>
      </c>
      <c r="B112">
        <v>3</v>
      </c>
    </row>
    <row r="113" spans="1:2" x14ac:dyDescent="0.2">
      <c r="A113">
        <v>10</v>
      </c>
      <c r="B113">
        <v>4</v>
      </c>
    </row>
    <row r="114" spans="1:2" x14ac:dyDescent="0.2">
      <c r="A114">
        <v>10</v>
      </c>
      <c r="B114">
        <v>5</v>
      </c>
    </row>
    <row r="115" spans="1:2" x14ac:dyDescent="0.2">
      <c r="A115">
        <v>10</v>
      </c>
      <c r="B115">
        <v>13</v>
      </c>
    </row>
    <row r="116" spans="1:2" x14ac:dyDescent="0.2">
      <c r="A116">
        <v>10</v>
      </c>
      <c r="B116">
        <v>15</v>
      </c>
    </row>
    <row r="117" spans="1:2" x14ac:dyDescent="0.2">
      <c r="A117">
        <v>11</v>
      </c>
      <c r="B117">
        <v>1</v>
      </c>
    </row>
    <row r="118" spans="1:2" x14ac:dyDescent="0.2">
      <c r="A118">
        <v>11</v>
      </c>
      <c r="B118">
        <v>2</v>
      </c>
    </row>
    <row r="119" spans="1:2" x14ac:dyDescent="0.2">
      <c r="A119">
        <v>11</v>
      </c>
      <c r="B119">
        <v>3</v>
      </c>
    </row>
    <row r="120" spans="1:2" x14ac:dyDescent="0.2">
      <c r="A120">
        <v>11</v>
      </c>
      <c r="B120">
        <v>4</v>
      </c>
    </row>
    <row r="121" spans="1:2" x14ac:dyDescent="0.2">
      <c r="A121">
        <v>11</v>
      </c>
      <c r="B121">
        <v>5</v>
      </c>
    </row>
    <row r="122" spans="1:2" x14ac:dyDescent="0.2">
      <c r="A122">
        <v>11</v>
      </c>
      <c r="B122">
        <v>10</v>
      </c>
    </row>
    <row r="123" spans="1:2" x14ac:dyDescent="0.2">
      <c r="A123">
        <v>11</v>
      </c>
      <c r="B123">
        <v>12</v>
      </c>
    </row>
    <row r="124" spans="1:2" x14ac:dyDescent="0.2">
      <c r="A124">
        <v>11</v>
      </c>
      <c r="B124">
        <v>15</v>
      </c>
    </row>
    <row r="125" spans="1:2" x14ac:dyDescent="0.2">
      <c r="A125">
        <v>12</v>
      </c>
      <c r="B125">
        <v>1</v>
      </c>
    </row>
    <row r="126" spans="1:2" x14ac:dyDescent="0.2">
      <c r="A126">
        <v>12</v>
      </c>
      <c r="B126">
        <v>2</v>
      </c>
    </row>
    <row r="127" spans="1:2" x14ac:dyDescent="0.2">
      <c r="A127">
        <v>12</v>
      </c>
      <c r="B127">
        <v>3</v>
      </c>
    </row>
    <row r="128" spans="1:2" x14ac:dyDescent="0.2">
      <c r="A128">
        <v>12</v>
      </c>
      <c r="B128">
        <v>4</v>
      </c>
    </row>
    <row r="129" spans="1:2" x14ac:dyDescent="0.2">
      <c r="A129">
        <v>12</v>
      </c>
      <c r="B129">
        <v>5</v>
      </c>
    </row>
    <row r="130" spans="1:2" x14ac:dyDescent="0.2">
      <c r="A130">
        <v>12</v>
      </c>
      <c r="B130">
        <v>15</v>
      </c>
    </row>
    <row r="131" spans="1:2" x14ac:dyDescent="0.2">
      <c r="A131">
        <v>13</v>
      </c>
      <c r="B131">
        <v>1</v>
      </c>
    </row>
    <row r="132" spans="1:2" x14ac:dyDescent="0.2">
      <c r="A132">
        <v>13</v>
      </c>
      <c r="B132">
        <v>2</v>
      </c>
    </row>
    <row r="133" spans="1:2" x14ac:dyDescent="0.2">
      <c r="A133">
        <v>13</v>
      </c>
      <c r="B133">
        <v>3</v>
      </c>
    </row>
    <row r="134" spans="1:2" x14ac:dyDescent="0.2">
      <c r="A134">
        <v>13</v>
      </c>
      <c r="B134">
        <v>4</v>
      </c>
    </row>
    <row r="135" spans="1:2" x14ac:dyDescent="0.2">
      <c r="A135">
        <v>13</v>
      </c>
      <c r="B135">
        <v>5</v>
      </c>
    </row>
    <row r="136" spans="1:2" x14ac:dyDescent="0.2">
      <c r="A136">
        <v>13</v>
      </c>
      <c r="B136">
        <v>12</v>
      </c>
    </row>
    <row r="137" spans="1:2" x14ac:dyDescent="0.2">
      <c r="A137">
        <v>13</v>
      </c>
      <c r="B137">
        <v>15</v>
      </c>
    </row>
    <row r="138" spans="1:2" x14ac:dyDescent="0.2">
      <c r="A138">
        <v>1</v>
      </c>
      <c r="B138">
        <v>22</v>
      </c>
    </row>
    <row r="139" spans="1:2" x14ac:dyDescent="0.2">
      <c r="A139">
        <v>2</v>
      </c>
      <c r="B139">
        <v>22</v>
      </c>
    </row>
    <row r="140" spans="1:2" x14ac:dyDescent="0.2">
      <c r="A140">
        <v>3</v>
      </c>
      <c r="B140">
        <v>22</v>
      </c>
    </row>
    <row r="141" spans="1:2" x14ac:dyDescent="0.2">
      <c r="A141">
        <v>4</v>
      </c>
      <c r="B141">
        <v>22</v>
      </c>
    </row>
    <row r="142" spans="1:2" x14ac:dyDescent="0.2">
      <c r="A142">
        <v>5</v>
      </c>
      <c r="B142">
        <v>22</v>
      </c>
    </row>
    <row r="143" spans="1:2" x14ac:dyDescent="0.2">
      <c r="A143">
        <v>6</v>
      </c>
      <c r="B143">
        <v>22</v>
      </c>
    </row>
    <row r="144" spans="1:2" x14ac:dyDescent="0.2">
      <c r="A144">
        <v>10</v>
      </c>
      <c r="B144">
        <v>22</v>
      </c>
    </row>
    <row r="145" spans="1:2" x14ac:dyDescent="0.2">
      <c r="A145">
        <v>11</v>
      </c>
      <c r="B145">
        <v>22</v>
      </c>
    </row>
    <row r="146" spans="1:2" x14ac:dyDescent="0.2">
      <c r="A146">
        <v>12</v>
      </c>
      <c r="B146">
        <v>22</v>
      </c>
    </row>
    <row r="147" spans="1:2" x14ac:dyDescent="0.2">
      <c r="A147">
        <v>13</v>
      </c>
      <c r="B147">
        <v>22</v>
      </c>
    </row>
    <row r="148" spans="1:2" x14ac:dyDescent="0.2">
      <c r="A148">
        <v>7</v>
      </c>
      <c r="B148">
        <v>23</v>
      </c>
    </row>
    <row r="149" spans="1:2" x14ac:dyDescent="0.2">
      <c r="A149">
        <v>8</v>
      </c>
      <c r="B149">
        <v>23</v>
      </c>
    </row>
    <row r="150" spans="1:2" x14ac:dyDescent="0.2">
      <c r="A150">
        <v>9</v>
      </c>
      <c r="B150">
        <v>23</v>
      </c>
    </row>
    <row r="151" spans="1:2" x14ac:dyDescent="0.2">
      <c r="A151">
        <v>12</v>
      </c>
      <c r="B151">
        <v>23</v>
      </c>
    </row>
    <row r="152" spans="1:2" x14ac:dyDescent="0.2">
      <c r="A152">
        <v>7</v>
      </c>
      <c r="B152">
        <v>24</v>
      </c>
    </row>
    <row r="153" spans="1:2" x14ac:dyDescent="0.2">
      <c r="A153">
        <v>8</v>
      </c>
      <c r="B153">
        <v>24</v>
      </c>
    </row>
    <row r="154" spans="1:2" x14ac:dyDescent="0.2">
      <c r="A154">
        <v>14</v>
      </c>
      <c r="B154">
        <v>24</v>
      </c>
    </row>
    <row r="155" spans="1:2" x14ac:dyDescent="0.2">
      <c r="A155">
        <v>3</v>
      </c>
      <c r="B155">
        <v>24</v>
      </c>
    </row>
    <row r="156" spans="1:2" x14ac:dyDescent="0.2">
      <c r="A156">
        <v>12</v>
      </c>
      <c r="B156">
        <v>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DBFF-8203-BA44-A62E-5965AC08ED0E}">
  <sheetPr codeName="Sheet5"/>
  <dimension ref="A1:I52"/>
  <sheetViews>
    <sheetView workbookViewId="0">
      <selection activeCell="D13" sqref="D13"/>
    </sheetView>
  </sheetViews>
  <sheetFormatPr baseColWidth="10" defaultRowHeight="16" x14ac:dyDescent="0.2"/>
  <cols>
    <col min="2" max="2" width="31.1640625" bestFit="1" customWidth="1"/>
    <col min="3" max="3" width="21.83203125" bestFit="1" customWidth="1"/>
    <col min="4" max="4" width="59.33203125" bestFit="1" customWidth="1"/>
    <col min="5" max="5" width="18.5" bestFit="1" customWidth="1"/>
    <col min="6" max="6" width="15.33203125" bestFit="1" customWidth="1"/>
    <col min="7" max="7" width="23.6640625" bestFit="1" customWidth="1"/>
    <col min="8" max="8" width="19.83203125" bestFit="1" customWidth="1"/>
  </cols>
  <sheetData>
    <row r="1" spans="1:9" x14ac:dyDescent="0.2">
      <c r="A1" t="s">
        <v>118</v>
      </c>
      <c r="B1" t="s">
        <v>138</v>
      </c>
      <c r="C1" t="s">
        <v>116</v>
      </c>
      <c r="D1" t="s">
        <v>112</v>
      </c>
      <c r="E1" s="9" t="s">
        <v>267</v>
      </c>
      <c r="F1" s="9"/>
      <c r="G1" s="9"/>
      <c r="H1" s="9"/>
      <c r="I1" s="9"/>
    </row>
    <row r="2" spans="1:9" x14ac:dyDescent="0.2">
      <c r="A2">
        <v>1</v>
      </c>
      <c r="B2" t="s">
        <v>39</v>
      </c>
      <c r="C2" t="s">
        <v>199</v>
      </c>
      <c r="D2" t="s">
        <v>206</v>
      </c>
      <c r="E2">
        <f>COUNTIF(Table7[tool_id],Table4[[#This Row],[tool_id]])</f>
        <v>8</v>
      </c>
    </row>
    <row r="3" spans="1:9" x14ac:dyDescent="0.2">
      <c r="A3">
        <v>2</v>
      </c>
      <c r="B3" t="s">
        <v>38</v>
      </c>
      <c r="C3" t="s">
        <v>199</v>
      </c>
      <c r="D3" t="s">
        <v>205</v>
      </c>
      <c r="E3">
        <f>COUNTIF(Table7[tool_id],Table4[[#This Row],[tool_id]])</f>
        <v>5</v>
      </c>
    </row>
    <row r="4" spans="1:9" x14ac:dyDescent="0.2">
      <c r="A4">
        <v>3</v>
      </c>
      <c r="B4" t="s">
        <v>185</v>
      </c>
      <c r="C4" t="s">
        <v>199</v>
      </c>
      <c r="D4" t="s">
        <v>207</v>
      </c>
      <c r="E4">
        <f>COUNTIF(Table7[tool_id],Table4[[#This Row],[tool_id]])</f>
        <v>2</v>
      </c>
    </row>
    <row r="5" spans="1:9" x14ac:dyDescent="0.2">
      <c r="A5">
        <v>4</v>
      </c>
      <c r="B5" t="s">
        <v>197</v>
      </c>
      <c r="C5" t="s">
        <v>199</v>
      </c>
      <c r="D5" t="s">
        <v>207</v>
      </c>
      <c r="E5">
        <f>COUNTIF(Table7[tool_id],Table4[[#This Row],[tool_id]])</f>
        <v>2</v>
      </c>
    </row>
    <row r="6" spans="1:9" hidden="1" x14ac:dyDescent="0.2">
      <c r="A6">
        <v>5</v>
      </c>
      <c r="B6" t="s">
        <v>40</v>
      </c>
      <c r="C6" t="s">
        <v>199</v>
      </c>
      <c r="D6" t="s">
        <v>208</v>
      </c>
      <c r="E6">
        <f>COUNTIF(Table7[tool_id],Table4[[#This Row],[tool_id]])</f>
        <v>0</v>
      </c>
    </row>
    <row r="7" spans="1:9" hidden="1" x14ac:dyDescent="0.2">
      <c r="A7">
        <v>6</v>
      </c>
      <c r="B7" t="s">
        <v>41</v>
      </c>
      <c r="C7" t="s">
        <v>199</v>
      </c>
      <c r="D7" t="s">
        <v>209</v>
      </c>
      <c r="E7">
        <f>COUNTIF(Table7[tool_id],Table4[[#This Row],[tool_id]])</f>
        <v>0</v>
      </c>
    </row>
    <row r="8" spans="1:9" hidden="1" x14ac:dyDescent="0.2">
      <c r="A8">
        <v>7</v>
      </c>
      <c r="B8" t="s">
        <v>42</v>
      </c>
      <c r="C8" t="s">
        <v>199</v>
      </c>
      <c r="D8" t="s">
        <v>210</v>
      </c>
      <c r="E8">
        <f>COUNTIF(Table7[tool_id],Table4[[#This Row],[tool_id]])</f>
        <v>0</v>
      </c>
    </row>
    <row r="9" spans="1:9" hidden="1" x14ac:dyDescent="0.2">
      <c r="A9">
        <v>8</v>
      </c>
      <c r="B9" t="s">
        <v>86</v>
      </c>
      <c r="C9" t="s">
        <v>199</v>
      </c>
      <c r="D9" t="s">
        <v>214</v>
      </c>
      <c r="E9">
        <f>COUNTIF(Table7[tool_id],Table4[[#This Row],[tool_id]])</f>
        <v>0</v>
      </c>
    </row>
    <row r="10" spans="1:9" hidden="1" x14ac:dyDescent="0.2">
      <c r="A10">
        <v>9</v>
      </c>
      <c r="B10" t="s">
        <v>43</v>
      </c>
      <c r="C10" t="s">
        <v>199</v>
      </c>
      <c r="D10" t="s">
        <v>211</v>
      </c>
      <c r="E10">
        <f>COUNTIF(Table7[tool_id],Table4[[#This Row],[tool_id]])</f>
        <v>0</v>
      </c>
    </row>
    <row r="11" spans="1:9" x14ac:dyDescent="0.2">
      <c r="A11">
        <v>10</v>
      </c>
      <c r="B11" t="s">
        <v>58</v>
      </c>
      <c r="C11" t="s">
        <v>193</v>
      </c>
      <c r="D11" t="s">
        <v>212</v>
      </c>
      <c r="E11">
        <f>COUNTIF(Table7[tool_id],Table4[[#This Row],[tool_id]])</f>
        <v>2</v>
      </c>
    </row>
    <row r="12" spans="1:9" x14ac:dyDescent="0.2">
      <c r="A12">
        <v>11</v>
      </c>
      <c r="B12" t="s">
        <v>87</v>
      </c>
      <c r="C12" t="s">
        <v>193</v>
      </c>
      <c r="D12" t="s">
        <v>213</v>
      </c>
      <c r="E12">
        <f>COUNTIF(Table7[tool_id],Table4[[#This Row],[tool_id]])</f>
        <v>2</v>
      </c>
    </row>
    <row r="13" spans="1:9" x14ac:dyDescent="0.2">
      <c r="A13">
        <v>12</v>
      </c>
      <c r="B13" t="s">
        <v>305</v>
      </c>
      <c r="C13" t="s">
        <v>198</v>
      </c>
      <c r="D13" t="s">
        <v>215</v>
      </c>
      <c r="E13">
        <f>COUNTIF(Table7[tool_id],Table4[[#This Row],[tool_id]])</f>
        <v>14</v>
      </c>
    </row>
    <row r="14" spans="1:9" x14ac:dyDescent="0.2">
      <c r="A14">
        <v>13</v>
      </c>
      <c r="B14" t="s">
        <v>44</v>
      </c>
      <c r="C14" t="s">
        <v>199</v>
      </c>
      <c r="D14" t="s">
        <v>306</v>
      </c>
      <c r="E14">
        <f>COUNTIF(Table7[tool_id],Table4[[#This Row],[tool_id]])</f>
        <v>8</v>
      </c>
    </row>
    <row r="15" spans="1:9" hidden="1" x14ac:dyDescent="0.2">
      <c r="A15">
        <v>14</v>
      </c>
      <c r="B15" t="s">
        <v>88</v>
      </c>
      <c r="C15" t="s">
        <v>89</v>
      </c>
      <c r="D15" t="s">
        <v>218</v>
      </c>
      <c r="E15">
        <f>COUNTIF(Table7[tool_id],Table4[[#This Row],[tool_id]])</f>
        <v>0</v>
      </c>
    </row>
    <row r="16" spans="1:9" hidden="1" x14ac:dyDescent="0.2">
      <c r="A16">
        <v>15</v>
      </c>
      <c r="B16" t="s">
        <v>90</v>
      </c>
      <c r="C16" t="s">
        <v>89</v>
      </c>
      <c r="D16" t="s">
        <v>218</v>
      </c>
      <c r="E16">
        <f>COUNTIF(Table7[tool_id],Table4[[#This Row],[tool_id]])</f>
        <v>0</v>
      </c>
    </row>
    <row r="17" spans="1:5" hidden="1" x14ac:dyDescent="0.2">
      <c r="A17">
        <v>16</v>
      </c>
      <c r="B17" t="s">
        <v>62</v>
      </c>
      <c r="C17" t="s">
        <v>89</v>
      </c>
      <c r="D17" t="s">
        <v>219</v>
      </c>
      <c r="E17">
        <f>COUNTIF(Table7[tool_id],Table4[[#This Row],[tool_id]])</f>
        <v>0</v>
      </c>
    </row>
    <row r="18" spans="1:5" x14ac:dyDescent="0.2">
      <c r="A18">
        <v>17</v>
      </c>
      <c r="B18" t="s">
        <v>45</v>
      </c>
      <c r="C18" t="s">
        <v>199</v>
      </c>
      <c r="D18" t="s">
        <v>220</v>
      </c>
      <c r="E18">
        <f>COUNTIF(Table7[tool_id],Table4[[#This Row],[tool_id]])</f>
        <v>2</v>
      </c>
    </row>
    <row r="19" spans="1:5" x14ac:dyDescent="0.2">
      <c r="A19">
        <v>18</v>
      </c>
      <c r="B19" t="s">
        <v>303</v>
      </c>
      <c r="C19" t="s">
        <v>198</v>
      </c>
      <c r="D19" t="s">
        <v>223</v>
      </c>
      <c r="E19">
        <f>COUNTIF(Table7[tool_id],Table4[[#This Row],[tool_id]])</f>
        <v>9</v>
      </c>
    </row>
    <row r="20" spans="1:5" hidden="1" x14ac:dyDescent="0.2">
      <c r="A20">
        <v>19</v>
      </c>
      <c r="B20" t="s">
        <v>60</v>
      </c>
      <c r="C20" t="s">
        <v>198</v>
      </c>
      <c r="D20" t="s">
        <v>225</v>
      </c>
      <c r="E20">
        <f>COUNTIF(Table7[tool_id],Table4[[#This Row],[tool_id]])</f>
        <v>0</v>
      </c>
    </row>
    <row r="21" spans="1:5" hidden="1" x14ac:dyDescent="0.2">
      <c r="A21">
        <v>20</v>
      </c>
      <c r="B21" t="s">
        <v>61</v>
      </c>
      <c r="C21" t="s">
        <v>198</v>
      </c>
      <c r="D21" t="s">
        <v>224</v>
      </c>
      <c r="E21">
        <f>COUNTIF(Table7[tool_id],Table4[[#This Row],[tool_id]])</f>
        <v>0</v>
      </c>
    </row>
    <row r="22" spans="1:5" x14ac:dyDescent="0.2">
      <c r="A22">
        <v>21</v>
      </c>
      <c r="B22" s="17" t="s">
        <v>99</v>
      </c>
      <c r="C22" s="12" t="s">
        <v>92</v>
      </c>
      <c r="D22" t="s">
        <v>226</v>
      </c>
      <c r="E22">
        <f>COUNTIF(Table7[tool_id],Table4[[#This Row],[tool_id]])</f>
        <v>4</v>
      </c>
    </row>
    <row r="23" spans="1:5" x14ac:dyDescent="0.2">
      <c r="A23">
        <v>22</v>
      </c>
      <c r="B23" t="s">
        <v>91</v>
      </c>
      <c r="C23" t="s">
        <v>92</v>
      </c>
      <c r="D23" t="s">
        <v>227</v>
      </c>
      <c r="E23">
        <f>COUNTIF(Table7[tool_id],Table4[[#This Row],[tool_id]])</f>
        <v>2</v>
      </c>
    </row>
    <row r="24" spans="1:5" x14ac:dyDescent="0.2">
      <c r="A24">
        <v>23</v>
      </c>
      <c r="B24" t="s">
        <v>93</v>
      </c>
      <c r="C24" t="s">
        <v>92</v>
      </c>
      <c r="D24" t="s">
        <v>228</v>
      </c>
      <c r="E24">
        <f>COUNTIF(Table7[tool_id],Table4[[#This Row],[tool_id]])</f>
        <v>2</v>
      </c>
    </row>
    <row r="25" spans="1:5" x14ac:dyDescent="0.2">
      <c r="A25">
        <v>24</v>
      </c>
      <c r="B25" t="s">
        <v>94</v>
      </c>
      <c r="C25" t="s">
        <v>92</v>
      </c>
      <c r="D25" t="s">
        <v>229</v>
      </c>
      <c r="E25">
        <f>COUNTIF(Table7[tool_id],Table4[[#This Row],[tool_id]])</f>
        <v>4</v>
      </c>
    </row>
    <row r="26" spans="1:5" x14ac:dyDescent="0.2">
      <c r="A26">
        <v>25</v>
      </c>
      <c r="B26" t="s">
        <v>232</v>
      </c>
      <c r="C26" t="s">
        <v>92</v>
      </c>
      <c r="D26" t="s">
        <v>230</v>
      </c>
      <c r="E26">
        <f>COUNTIF(Table7[tool_id],Table4[[#This Row],[tool_id]])</f>
        <v>2</v>
      </c>
    </row>
    <row r="27" spans="1:5" x14ac:dyDescent="0.2">
      <c r="A27">
        <v>26</v>
      </c>
      <c r="B27" t="s">
        <v>231</v>
      </c>
      <c r="C27" t="s">
        <v>92</v>
      </c>
      <c r="D27" t="s">
        <v>233</v>
      </c>
      <c r="E27">
        <f>COUNTIF(Table7[tool_id],Table4[[#This Row],[tool_id]])</f>
        <v>2</v>
      </c>
    </row>
    <row r="28" spans="1:5" x14ac:dyDescent="0.2">
      <c r="A28">
        <v>27</v>
      </c>
      <c r="B28" t="s">
        <v>95</v>
      </c>
      <c r="C28" t="s">
        <v>92</v>
      </c>
      <c r="D28" t="s">
        <v>234</v>
      </c>
      <c r="E28">
        <f>COUNTIF(Table7[tool_id],Table4[[#This Row],[tool_id]])</f>
        <v>2</v>
      </c>
    </row>
    <row r="29" spans="1:5" x14ac:dyDescent="0.2">
      <c r="A29">
        <v>28</v>
      </c>
      <c r="B29" t="s">
        <v>96</v>
      </c>
      <c r="C29" t="s">
        <v>92</v>
      </c>
      <c r="D29" t="s">
        <v>235</v>
      </c>
      <c r="E29">
        <f>COUNTIF(Table7[tool_id],Table4[[#This Row],[tool_id]])</f>
        <v>4</v>
      </c>
    </row>
    <row r="30" spans="1:5" x14ac:dyDescent="0.2">
      <c r="A30">
        <v>29</v>
      </c>
      <c r="B30" t="s">
        <v>139</v>
      </c>
      <c r="C30" t="s">
        <v>92</v>
      </c>
      <c r="D30" t="s">
        <v>236</v>
      </c>
      <c r="E30">
        <f>COUNTIF(Table7[tool_id],Table4[[#This Row],[tool_id]])</f>
        <v>6</v>
      </c>
    </row>
    <row r="31" spans="1:5" x14ac:dyDescent="0.2">
      <c r="A31">
        <v>30</v>
      </c>
      <c r="B31" s="17" t="s">
        <v>98</v>
      </c>
      <c r="C31" s="14" t="s">
        <v>92</v>
      </c>
      <c r="D31" t="s">
        <v>237</v>
      </c>
      <c r="E31">
        <f>COUNTIF(Table7[tool_id],Table4[[#This Row],[tool_id]])</f>
        <v>4</v>
      </c>
    </row>
    <row r="32" spans="1:5" x14ac:dyDescent="0.2">
      <c r="A32">
        <v>31</v>
      </c>
      <c r="B32" t="s">
        <v>304</v>
      </c>
      <c r="C32" t="s">
        <v>198</v>
      </c>
      <c r="D32" t="s">
        <v>216</v>
      </c>
      <c r="E32">
        <f>COUNTIF(Table7[tool_id],Table4[[#This Row],[tool_id]])</f>
        <v>14</v>
      </c>
    </row>
    <row r="33" spans="1:5" x14ac:dyDescent="0.2">
      <c r="A33">
        <v>32</v>
      </c>
      <c r="B33" t="s">
        <v>302</v>
      </c>
      <c r="C33" t="s">
        <v>198</v>
      </c>
      <c r="D33" t="s">
        <v>217</v>
      </c>
      <c r="E33">
        <f>COUNTIF(Table7[tool_id],Table4[[#This Row],[tool_id]])</f>
        <v>6</v>
      </c>
    </row>
    <row r="34" spans="1:5" x14ac:dyDescent="0.2">
      <c r="A34">
        <v>33</v>
      </c>
      <c r="B34" t="s">
        <v>202</v>
      </c>
      <c r="C34" t="s">
        <v>198</v>
      </c>
      <c r="D34" t="s">
        <v>221</v>
      </c>
      <c r="E34">
        <f>COUNTIF(Table7[tool_id],Table4[[#This Row],[tool_id]])</f>
        <v>1</v>
      </c>
    </row>
    <row r="35" spans="1:5" x14ac:dyDescent="0.2">
      <c r="A35">
        <v>34</v>
      </c>
      <c r="B35" t="s">
        <v>204</v>
      </c>
      <c r="C35" t="s">
        <v>198</v>
      </c>
      <c r="D35" t="s">
        <v>222</v>
      </c>
      <c r="E35">
        <f>COUNTIF(Table7[tool_id],Table4[[#This Row],[tool_id]])</f>
        <v>4</v>
      </c>
    </row>
    <row r="43" spans="1:5" x14ac:dyDescent="0.2">
      <c r="C43" s="30"/>
    </row>
    <row r="44" spans="1:5" x14ac:dyDescent="0.2">
      <c r="C44" s="30"/>
    </row>
    <row r="45" spans="1:5" x14ac:dyDescent="0.2">
      <c r="C45" s="30"/>
    </row>
    <row r="46" spans="1:5" x14ac:dyDescent="0.2">
      <c r="C46" s="30"/>
    </row>
    <row r="49" spans="3:3" x14ac:dyDescent="0.2">
      <c r="C49" s="31"/>
    </row>
    <row r="50" spans="3:3" x14ac:dyDescent="0.2">
      <c r="C50" s="31"/>
    </row>
    <row r="51" spans="3:3" x14ac:dyDescent="0.2">
      <c r="C51" s="31"/>
    </row>
    <row r="52" spans="3:3" x14ac:dyDescent="0.2">
      <c r="C52" s="31"/>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9647-6B4F-7F4B-A3D0-2E740D777678}">
  <sheetPr codeName="Sheet4"/>
  <dimension ref="A1:C35"/>
  <sheetViews>
    <sheetView tabSelected="1" workbookViewId="0">
      <selection activeCell="C2" sqref="C2"/>
    </sheetView>
  </sheetViews>
  <sheetFormatPr baseColWidth="10" defaultRowHeight="16" x14ac:dyDescent="0.2"/>
  <cols>
    <col min="1" max="1" width="12" customWidth="1"/>
    <col min="2" max="2" width="14.1640625" customWidth="1"/>
    <col min="3" max="3" width="18" customWidth="1"/>
    <col min="5" max="5" width="31.1640625" bestFit="1" customWidth="1"/>
    <col min="6" max="6" width="21.83203125" bestFit="1" customWidth="1"/>
    <col min="7" max="7" width="21" bestFit="1" customWidth="1"/>
    <col min="9" max="9" width="17.33203125" bestFit="1" customWidth="1"/>
  </cols>
  <sheetData>
    <row r="1" spans="1:3" x14ac:dyDescent="0.2">
      <c r="A1" t="s">
        <v>103</v>
      </c>
      <c r="B1" t="s">
        <v>118</v>
      </c>
      <c r="C1" t="s">
        <v>117</v>
      </c>
    </row>
    <row r="2" spans="1:3" x14ac:dyDescent="0.2">
      <c r="A2">
        <v>1</v>
      </c>
      <c r="B2">
        <v>1</v>
      </c>
      <c r="C2">
        <v>5</v>
      </c>
    </row>
    <row r="3" spans="1:3" x14ac:dyDescent="0.2">
      <c r="A3">
        <v>1</v>
      </c>
      <c r="B3">
        <v>2</v>
      </c>
      <c r="C3">
        <v>4</v>
      </c>
    </row>
    <row r="4" spans="1:3" x14ac:dyDescent="0.2">
      <c r="A4">
        <v>1</v>
      </c>
      <c r="B4">
        <v>3</v>
      </c>
      <c r="C4">
        <v>3</v>
      </c>
    </row>
    <row r="5" spans="1:3" x14ac:dyDescent="0.2">
      <c r="A5">
        <v>1</v>
      </c>
      <c r="B5">
        <v>4</v>
      </c>
      <c r="C5">
        <v>3</v>
      </c>
    </row>
    <row r="6" spans="1:3" x14ac:dyDescent="0.2">
      <c r="A6">
        <v>1</v>
      </c>
      <c r="B6">
        <v>5</v>
      </c>
      <c r="C6">
        <v>3</v>
      </c>
    </row>
    <row r="7" spans="1:3" x14ac:dyDescent="0.2">
      <c r="A7">
        <v>1</v>
      </c>
      <c r="B7">
        <v>6</v>
      </c>
      <c r="C7">
        <v>2</v>
      </c>
    </row>
    <row r="8" spans="1:3" x14ac:dyDescent="0.2">
      <c r="A8">
        <v>1</v>
      </c>
      <c r="B8">
        <v>7</v>
      </c>
      <c r="C8">
        <v>1</v>
      </c>
    </row>
    <row r="9" spans="1:3" x14ac:dyDescent="0.2">
      <c r="A9">
        <v>1</v>
      </c>
      <c r="B9">
        <v>8</v>
      </c>
      <c r="C9">
        <v>1</v>
      </c>
    </row>
    <row r="10" spans="1:3" x14ac:dyDescent="0.2">
      <c r="A10">
        <v>1</v>
      </c>
      <c r="B10">
        <v>9</v>
      </c>
      <c r="C10">
        <v>1</v>
      </c>
    </row>
    <row r="11" spans="1:3" x14ac:dyDescent="0.2">
      <c r="A11">
        <v>1</v>
      </c>
      <c r="B11">
        <v>10</v>
      </c>
      <c r="C11">
        <v>2</v>
      </c>
    </row>
    <row r="12" spans="1:3" x14ac:dyDescent="0.2">
      <c r="A12">
        <v>1</v>
      </c>
      <c r="B12">
        <v>11</v>
      </c>
      <c r="C12">
        <v>2</v>
      </c>
    </row>
    <row r="13" spans="1:3" x14ac:dyDescent="0.2">
      <c r="A13">
        <v>1</v>
      </c>
      <c r="B13">
        <v>12</v>
      </c>
      <c r="C13">
        <v>5</v>
      </c>
    </row>
    <row r="14" spans="1:3" x14ac:dyDescent="0.2">
      <c r="A14">
        <v>1</v>
      </c>
      <c r="B14">
        <v>13</v>
      </c>
      <c r="C14">
        <v>4</v>
      </c>
    </row>
    <row r="15" spans="1:3" x14ac:dyDescent="0.2">
      <c r="A15">
        <v>1</v>
      </c>
      <c r="B15">
        <v>14</v>
      </c>
      <c r="C15">
        <v>3</v>
      </c>
    </row>
    <row r="16" spans="1:3" x14ac:dyDescent="0.2">
      <c r="A16">
        <v>1</v>
      </c>
      <c r="B16">
        <v>15</v>
      </c>
      <c r="C16">
        <v>1</v>
      </c>
    </row>
    <row r="17" spans="1:3" x14ac:dyDescent="0.2">
      <c r="A17">
        <v>1</v>
      </c>
      <c r="B17">
        <v>16</v>
      </c>
      <c r="C17">
        <v>3</v>
      </c>
    </row>
    <row r="18" spans="1:3" x14ac:dyDescent="0.2">
      <c r="A18">
        <v>1</v>
      </c>
      <c r="B18">
        <v>17</v>
      </c>
      <c r="C18">
        <v>3</v>
      </c>
    </row>
    <row r="19" spans="1:3" x14ac:dyDescent="0.2">
      <c r="A19">
        <v>1</v>
      </c>
      <c r="B19">
        <v>18</v>
      </c>
      <c r="C19">
        <v>4</v>
      </c>
    </row>
    <row r="20" spans="1:3" x14ac:dyDescent="0.2">
      <c r="A20">
        <v>1</v>
      </c>
      <c r="B20">
        <v>19</v>
      </c>
      <c r="C20">
        <v>3</v>
      </c>
    </row>
    <row r="21" spans="1:3" x14ac:dyDescent="0.2">
      <c r="A21">
        <v>1</v>
      </c>
      <c r="B21">
        <v>20</v>
      </c>
      <c r="C21">
        <v>3</v>
      </c>
    </row>
    <row r="22" spans="1:3" x14ac:dyDescent="0.2">
      <c r="A22">
        <v>1</v>
      </c>
      <c r="B22">
        <v>21</v>
      </c>
      <c r="C22">
        <v>5</v>
      </c>
    </row>
    <row r="23" spans="1:3" x14ac:dyDescent="0.2">
      <c r="A23">
        <v>1</v>
      </c>
      <c r="B23">
        <v>22</v>
      </c>
      <c r="C23">
        <v>4</v>
      </c>
    </row>
    <row r="24" spans="1:3" x14ac:dyDescent="0.2">
      <c r="A24">
        <v>1</v>
      </c>
      <c r="B24">
        <v>23</v>
      </c>
      <c r="C24">
        <v>2</v>
      </c>
    </row>
    <row r="25" spans="1:3" x14ac:dyDescent="0.2">
      <c r="A25">
        <v>1</v>
      </c>
      <c r="B25">
        <v>24</v>
      </c>
      <c r="C25">
        <v>3</v>
      </c>
    </row>
    <row r="26" spans="1:3" x14ac:dyDescent="0.2">
      <c r="A26">
        <v>1</v>
      </c>
      <c r="B26">
        <v>25</v>
      </c>
      <c r="C26">
        <v>5</v>
      </c>
    </row>
    <row r="27" spans="1:3" x14ac:dyDescent="0.2">
      <c r="A27">
        <v>1</v>
      </c>
      <c r="B27">
        <v>26</v>
      </c>
      <c r="C27">
        <v>5</v>
      </c>
    </row>
    <row r="28" spans="1:3" x14ac:dyDescent="0.2">
      <c r="A28">
        <v>1</v>
      </c>
      <c r="B28">
        <v>27</v>
      </c>
      <c r="C28">
        <v>3</v>
      </c>
    </row>
    <row r="29" spans="1:3" x14ac:dyDescent="0.2">
      <c r="A29">
        <v>1</v>
      </c>
      <c r="B29">
        <v>28</v>
      </c>
      <c r="C29">
        <v>3</v>
      </c>
    </row>
    <row r="30" spans="1:3" x14ac:dyDescent="0.2">
      <c r="A30">
        <v>1</v>
      </c>
      <c r="B30">
        <v>29</v>
      </c>
      <c r="C30">
        <v>4</v>
      </c>
    </row>
    <row r="31" spans="1:3" x14ac:dyDescent="0.2">
      <c r="A31">
        <v>1</v>
      </c>
      <c r="B31">
        <v>30</v>
      </c>
      <c r="C31">
        <v>4</v>
      </c>
    </row>
    <row r="32" spans="1:3" x14ac:dyDescent="0.2">
      <c r="A32">
        <v>1</v>
      </c>
      <c r="B32">
        <v>31</v>
      </c>
      <c r="C32">
        <v>5</v>
      </c>
    </row>
    <row r="33" spans="1:3" x14ac:dyDescent="0.2">
      <c r="A33">
        <v>1</v>
      </c>
      <c r="B33">
        <v>32</v>
      </c>
      <c r="C33">
        <v>5</v>
      </c>
    </row>
    <row r="34" spans="1:3" x14ac:dyDescent="0.2">
      <c r="A34">
        <v>1</v>
      </c>
      <c r="B34">
        <v>33</v>
      </c>
      <c r="C34">
        <v>3</v>
      </c>
    </row>
    <row r="35" spans="1:3" x14ac:dyDescent="0.2">
      <c r="A35">
        <v>1</v>
      </c>
      <c r="B35">
        <v>34</v>
      </c>
      <c r="C35">
        <v>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5EB7-4467-3B49-8145-570794BF3025}">
  <sheetPr codeName="Sheet9"/>
  <dimension ref="A1:B112"/>
  <sheetViews>
    <sheetView topLeftCell="A45" workbookViewId="0">
      <selection activeCell="A112" sqref="A112"/>
    </sheetView>
  </sheetViews>
  <sheetFormatPr baseColWidth="10" defaultRowHeight="16" x14ac:dyDescent="0.2"/>
  <cols>
    <col min="1" max="1" width="15.1640625" customWidth="1"/>
    <col min="2" max="2" width="12" customWidth="1"/>
  </cols>
  <sheetData>
    <row r="1" spans="1:2" x14ac:dyDescent="0.2">
      <c r="A1" t="s">
        <v>113</v>
      </c>
      <c r="B1" t="s">
        <v>118</v>
      </c>
    </row>
    <row r="2" spans="1:2" x14ac:dyDescent="0.2">
      <c r="A2">
        <v>1</v>
      </c>
      <c r="B2">
        <v>12</v>
      </c>
    </row>
    <row r="3" spans="1:2" x14ac:dyDescent="0.2">
      <c r="A3">
        <v>1</v>
      </c>
      <c r="B3">
        <v>24</v>
      </c>
    </row>
    <row r="4" spans="1:2" x14ac:dyDescent="0.2">
      <c r="A4">
        <v>1</v>
      </c>
      <c r="B4">
        <v>25</v>
      </c>
    </row>
    <row r="5" spans="1:2" x14ac:dyDescent="0.2">
      <c r="A5">
        <v>1</v>
      </c>
      <c r="B5">
        <v>26</v>
      </c>
    </row>
    <row r="6" spans="1:2" x14ac:dyDescent="0.2">
      <c r="A6">
        <v>1</v>
      </c>
      <c r="B6">
        <v>29</v>
      </c>
    </row>
    <row r="7" spans="1:2" x14ac:dyDescent="0.2">
      <c r="A7">
        <v>2</v>
      </c>
      <c r="B7">
        <v>2</v>
      </c>
    </row>
    <row r="8" spans="1:2" x14ac:dyDescent="0.2">
      <c r="A8">
        <v>2</v>
      </c>
      <c r="B8">
        <v>12</v>
      </c>
    </row>
    <row r="9" spans="1:2" x14ac:dyDescent="0.2">
      <c r="A9">
        <v>2</v>
      </c>
      <c r="B9">
        <v>17</v>
      </c>
    </row>
    <row r="10" spans="1:2" x14ac:dyDescent="0.2">
      <c r="A10">
        <v>2</v>
      </c>
      <c r="B10">
        <v>24</v>
      </c>
    </row>
    <row r="11" spans="1:2" x14ac:dyDescent="0.2">
      <c r="A11">
        <v>2</v>
      </c>
      <c r="B11">
        <v>25</v>
      </c>
    </row>
    <row r="12" spans="1:2" x14ac:dyDescent="0.2">
      <c r="A12">
        <v>2</v>
      </c>
      <c r="B12">
        <v>26</v>
      </c>
    </row>
    <row r="13" spans="1:2" x14ac:dyDescent="0.2">
      <c r="A13">
        <v>2</v>
      </c>
      <c r="B13">
        <v>29</v>
      </c>
    </row>
    <row r="14" spans="1:2" x14ac:dyDescent="0.2">
      <c r="A14">
        <v>3</v>
      </c>
      <c r="B14">
        <v>1</v>
      </c>
    </row>
    <row r="15" spans="1:2" x14ac:dyDescent="0.2">
      <c r="A15">
        <v>3</v>
      </c>
      <c r="B15">
        <v>2</v>
      </c>
    </row>
    <row r="16" spans="1:2" x14ac:dyDescent="0.2">
      <c r="A16">
        <v>3</v>
      </c>
      <c r="B16">
        <v>12</v>
      </c>
    </row>
    <row r="17" spans="1:2" x14ac:dyDescent="0.2">
      <c r="A17">
        <v>3</v>
      </c>
      <c r="B17">
        <v>13</v>
      </c>
    </row>
    <row r="18" spans="1:2" x14ac:dyDescent="0.2">
      <c r="A18">
        <v>3</v>
      </c>
      <c r="B18">
        <v>17</v>
      </c>
    </row>
    <row r="19" spans="1:2" x14ac:dyDescent="0.2">
      <c r="A19">
        <v>3</v>
      </c>
      <c r="B19">
        <v>18</v>
      </c>
    </row>
    <row r="20" spans="1:2" x14ac:dyDescent="0.2">
      <c r="A20">
        <v>3</v>
      </c>
      <c r="B20">
        <v>21</v>
      </c>
    </row>
    <row r="21" spans="1:2" x14ac:dyDescent="0.2">
      <c r="A21">
        <v>3</v>
      </c>
      <c r="B21">
        <v>22</v>
      </c>
    </row>
    <row r="22" spans="1:2" x14ac:dyDescent="0.2">
      <c r="A22">
        <v>3</v>
      </c>
      <c r="B22">
        <v>23</v>
      </c>
    </row>
    <row r="23" spans="1:2" x14ac:dyDescent="0.2">
      <c r="A23">
        <v>3</v>
      </c>
      <c r="B23">
        <v>24</v>
      </c>
    </row>
    <row r="24" spans="1:2" x14ac:dyDescent="0.2">
      <c r="A24">
        <v>3</v>
      </c>
      <c r="B24">
        <v>27</v>
      </c>
    </row>
    <row r="25" spans="1:2" x14ac:dyDescent="0.2">
      <c r="A25">
        <v>3</v>
      </c>
      <c r="B25">
        <v>28</v>
      </c>
    </row>
    <row r="26" spans="1:2" x14ac:dyDescent="0.2">
      <c r="A26">
        <v>3</v>
      </c>
      <c r="B26">
        <v>29</v>
      </c>
    </row>
    <row r="27" spans="1:2" x14ac:dyDescent="0.2">
      <c r="A27">
        <v>3</v>
      </c>
      <c r="B27">
        <v>30</v>
      </c>
    </row>
    <row r="28" spans="1:2" x14ac:dyDescent="0.2">
      <c r="A28">
        <v>4</v>
      </c>
      <c r="B28">
        <v>1</v>
      </c>
    </row>
    <row r="29" spans="1:2" x14ac:dyDescent="0.2">
      <c r="A29">
        <v>4</v>
      </c>
      <c r="B29">
        <v>2</v>
      </c>
    </row>
    <row r="30" spans="1:2" x14ac:dyDescent="0.2">
      <c r="A30">
        <v>4</v>
      </c>
      <c r="B30">
        <v>12</v>
      </c>
    </row>
    <row r="31" spans="1:2" x14ac:dyDescent="0.2">
      <c r="A31">
        <v>4</v>
      </c>
      <c r="B31">
        <v>13</v>
      </c>
    </row>
    <row r="32" spans="1:2" x14ac:dyDescent="0.2">
      <c r="A32">
        <v>4</v>
      </c>
      <c r="B32">
        <v>18</v>
      </c>
    </row>
    <row r="33" spans="1:2" x14ac:dyDescent="0.2">
      <c r="A33">
        <v>4</v>
      </c>
      <c r="B33">
        <v>21</v>
      </c>
    </row>
    <row r="34" spans="1:2" x14ac:dyDescent="0.2">
      <c r="A34">
        <v>4</v>
      </c>
      <c r="B34">
        <v>23</v>
      </c>
    </row>
    <row r="35" spans="1:2" x14ac:dyDescent="0.2">
      <c r="A35">
        <v>4</v>
      </c>
      <c r="B35">
        <v>28</v>
      </c>
    </row>
    <row r="36" spans="1:2" x14ac:dyDescent="0.2">
      <c r="A36">
        <v>4</v>
      </c>
      <c r="B36">
        <v>29</v>
      </c>
    </row>
    <row r="37" spans="1:2" x14ac:dyDescent="0.2">
      <c r="A37">
        <v>4</v>
      </c>
      <c r="B37">
        <v>30</v>
      </c>
    </row>
    <row r="38" spans="1:2" x14ac:dyDescent="0.2">
      <c r="A38">
        <v>5</v>
      </c>
      <c r="B38">
        <v>1</v>
      </c>
    </row>
    <row r="39" spans="1:2" x14ac:dyDescent="0.2">
      <c r="A39">
        <v>5</v>
      </c>
      <c r="B39">
        <v>2</v>
      </c>
    </row>
    <row r="40" spans="1:2" x14ac:dyDescent="0.2">
      <c r="A40">
        <v>5</v>
      </c>
      <c r="B40">
        <v>12</v>
      </c>
    </row>
    <row r="41" spans="1:2" x14ac:dyDescent="0.2">
      <c r="A41">
        <v>5</v>
      </c>
      <c r="B41">
        <v>13</v>
      </c>
    </row>
    <row r="42" spans="1:2" x14ac:dyDescent="0.2">
      <c r="A42">
        <v>5</v>
      </c>
      <c r="B42">
        <v>18</v>
      </c>
    </row>
    <row r="43" spans="1:2" x14ac:dyDescent="0.2">
      <c r="A43">
        <v>5</v>
      </c>
      <c r="B43">
        <v>21</v>
      </c>
    </row>
    <row r="44" spans="1:2" x14ac:dyDescent="0.2">
      <c r="A44">
        <v>5</v>
      </c>
      <c r="B44">
        <v>27</v>
      </c>
    </row>
    <row r="45" spans="1:2" x14ac:dyDescent="0.2">
      <c r="A45">
        <v>5</v>
      </c>
      <c r="B45">
        <v>28</v>
      </c>
    </row>
    <row r="46" spans="1:2" x14ac:dyDescent="0.2">
      <c r="A46">
        <v>5</v>
      </c>
      <c r="B46">
        <v>29</v>
      </c>
    </row>
    <row r="47" spans="1:2" x14ac:dyDescent="0.2">
      <c r="A47">
        <v>5</v>
      </c>
      <c r="B47">
        <v>30</v>
      </c>
    </row>
    <row r="48" spans="1:2" x14ac:dyDescent="0.2">
      <c r="A48">
        <v>6</v>
      </c>
      <c r="B48">
        <v>1</v>
      </c>
    </row>
    <row r="49" spans="1:2" x14ac:dyDescent="0.2">
      <c r="A49">
        <v>6</v>
      </c>
      <c r="B49">
        <v>2</v>
      </c>
    </row>
    <row r="50" spans="1:2" x14ac:dyDescent="0.2">
      <c r="A50">
        <v>6</v>
      </c>
      <c r="B50">
        <v>12</v>
      </c>
    </row>
    <row r="51" spans="1:2" x14ac:dyDescent="0.2">
      <c r="A51">
        <v>6</v>
      </c>
      <c r="B51">
        <v>13</v>
      </c>
    </row>
    <row r="52" spans="1:2" x14ac:dyDescent="0.2">
      <c r="A52">
        <v>6</v>
      </c>
      <c r="B52">
        <v>18</v>
      </c>
    </row>
    <row r="53" spans="1:2" x14ac:dyDescent="0.2">
      <c r="A53">
        <v>6</v>
      </c>
      <c r="B53">
        <v>21</v>
      </c>
    </row>
    <row r="54" spans="1:2" x14ac:dyDescent="0.2">
      <c r="A54">
        <v>6</v>
      </c>
      <c r="B54">
        <v>22</v>
      </c>
    </row>
    <row r="55" spans="1:2" x14ac:dyDescent="0.2">
      <c r="A55">
        <v>6</v>
      </c>
      <c r="B55">
        <v>24</v>
      </c>
    </row>
    <row r="56" spans="1:2" x14ac:dyDescent="0.2">
      <c r="A56">
        <v>6</v>
      </c>
      <c r="B56">
        <v>28</v>
      </c>
    </row>
    <row r="57" spans="1:2" x14ac:dyDescent="0.2">
      <c r="A57">
        <v>6</v>
      </c>
      <c r="B57">
        <v>29</v>
      </c>
    </row>
    <row r="58" spans="1:2" x14ac:dyDescent="0.2">
      <c r="A58">
        <v>6</v>
      </c>
      <c r="B58">
        <v>30</v>
      </c>
    </row>
    <row r="59" spans="1:2" x14ac:dyDescent="0.2">
      <c r="A59">
        <v>7</v>
      </c>
      <c r="B59">
        <v>12</v>
      </c>
    </row>
    <row r="60" spans="1:2" x14ac:dyDescent="0.2">
      <c r="A60">
        <v>7</v>
      </c>
      <c r="B60">
        <v>18</v>
      </c>
    </row>
    <row r="61" spans="1:2" x14ac:dyDescent="0.2">
      <c r="A61">
        <v>8</v>
      </c>
      <c r="B61">
        <v>12</v>
      </c>
    </row>
    <row r="62" spans="1:2" x14ac:dyDescent="0.2">
      <c r="A62">
        <v>8</v>
      </c>
      <c r="B62">
        <v>18</v>
      </c>
    </row>
    <row r="63" spans="1:2" x14ac:dyDescent="0.2">
      <c r="A63">
        <v>9</v>
      </c>
      <c r="B63">
        <v>12</v>
      </c>
    </row>
    <row r="64" spans="1:2" x14ac:dyDescent="0.2">
      <c r="A64">
        <v>9</v>
      </c>
      <c r="B64">
        <v>18</v>
      </c>
    </row>
    <row r="65" spans="1:2" x14ac:dyDescent="0.2">
      <c r="A65">
        <v>10</v>
      </c>
      <c r="B65">
        <v>3</v>
      </c>
    </row>
    <row r="66" spans="1:2" x14ac:dyDescent="0.2">
      <c r="A66">
        <v>10</v>
      </c>
      <c r="B66">
        <v>11</v>
      </c>
    </row>
    <row r="67" spans="1:2" x14ac:dyDescent="0.2">
      <c r="A67">
        <v>10</v>
      </c>
      <c r="B67">
        <v>12</v>
      </c>
    </row>
    <row r="68" spans="1:2" x14ac:dyDescent="0.2">
      <c r="A68">
        <v>10</v>
      </c>
      <c r="B68" s="22">
        <v>1</v>
      </c>
    </row>
    <row r="69" spans="1:2" x14ac:dyDescent="0.2">
      <c r="A69">
        <v>10</v>
      </c>
      <c r="B69" s="22">
        <v>13</v>
      </c>
    </row>
    <row r="70" spans="1:2" x14ac:dyDescent="0.2">
      <c r="A70">
        <v>11</v>
      </c>
      <c r="B70" s="23">
        <v>3</v>
      </c>
    </row>
    <row r="71" spans="1:2" x14ac:dyDescent="0.2">
      <c r="A71">
        <v>11</v>
      </c>
      <c r="B71">
        <v>11</v>
      </c>
    </row>
    <row r="72" spans="1:2" x14ac:dyDescent="0.2">
      <c r="A72">
        <v>11</v>
      </c>
      <c r="B72" s="8">
        <v>12</v>
      </c>
    </row>
    <row r="73" spans="1:2" x14ac:dyDescent="0.2">
      <c r="A73">
        <v>11</v>
      </c>
      <c r="B73">
        <v>13</v>
      </c>
    </row>
    <row r="74" spans="1:2" x14ac:dyDescent="0.2">
      <c r="A74">
        <v>11</v>
      </c>
      <c r="B74">
        <v>1</v>
      </c>
    </row>
    <row r="75" spans="1:2" x14ac:dyDescent="0.2">
      <c r="A75">
        <v>12</v>
      </c>
      <c r="B75">
        <v>4</v>
      </c>
    </row>
    <row r="76" spans="1:2" x14ac:dyDescent="0.2">
      <c r="A76">
        <v>12</v>
      </c>
      <c r="B76">
        <v>10</v>
      </c>
    </row>
    <row r="77" spans="1:2" x14ac:dyDescent="0.2">
      <c r="A77">
        <v>12</v>
      </c>
      <c r="B77">
        <v>12</v>
      </c>
    </row>
    <row r="78" spans="1:2" x14ac:dyDescent="0.2">
      <c r="A78">
        <v>12</v>
      </c>
      <c r="B78">
        <v>18</v>
      </c>
    </row>
    <row r="79" spans="1:2" x14ac:dyDescent="0.2">
      <c r="A79">
        <v>12</v>
      </c>
      <c r="B79">
        <v>1</v>
      </c>
    </row>
    <row r="80" spans="1:2" x14ac:dyDescent="0.2">
      <c r="A80">
        <v>12</v>
      </c>
      <c r="B80">
        <v>13</v>
      </c>
    </row>
    <row r="81" spans="1:2" x14ac:dyDescent="0.2">
      <c r="A81">
        <v>13</v>
      </c>
      <c r="B81">
        <v>4</v>
      </c>
    </row>
    <row r="82" spans="1:2" x14ac:dyDescent="0.2">
      <c r="A82">
        <v>13</v>
      </c>
      <c r="B82">
        <v>10</v>
      </c>
    </row>
    <row r="83" spans="1:2" x14ac:dyDescent="0.2">
      <c r="A83">
        <v>13</v>
      </c>
      <c r="B83">
        <v>12</v>
      </c>
    </row>
    <row r="84" spans="1:2" x14ac:dyDescent="0.2">
      <c r="A84">
        <v>13</v>
      </c>
      <c r="B84">
        <v>1</v>
      </c>
    </row>
    <row r="85" spans="1:2" x14ac:dyDescent="0.2">
      <c r="A85">
        <v>13</v>
      </c>
      <c r="B85">
        <v>13</v>
      </c>
    </row>
    <row r="86" spans="1:2" x14ac:dyDescent="0.2">
      <c r="A86">
        <v>1</v>
      </c>
      <c r="B86">
        <v>31</v>
      </c>
    </row>
    <row r="87" spans="1:2" x14ac:dyDescent="0.2">
      <c r="A87">
        <v>2</v>
      </c>
      <c r="B87">
        <v>31</v>
      </c>
    </row>
    <row r="88" spans="1:2" x14ac:dyDescent="0.2">
      <c r="A88">
        <v>3</v>
      </c>
      <c r="B88">
        <v>31</v>
      </c>
    </row>
    <row r="89" spans="1:2" x14ac:dyDescent="0.2">
      <c r="A89">
        <v>4</v>
      </c>
      <c r="B89">
        <v>31</v>
      </c>
    </row>
    <row r="90" spans="1:2" x14ac:dyDescent="0.2">
      <c r="A90">
        <v>5</v>
      </c>
      <c r="B90">
        <v>31</v>
      </c>
    </row>
    <row r="91" spans="1:2" x14ac:dyDescent="0.2">
      <c r="A91">
        <v>6</v>
      </c>
      <c r="B91">
        <v>31</v>
      </c>
    </row>
    <row r="92" spans="1:2" x14ac:dyDescent="0.2">
      <c r="A92">
        <v>7</v>
      </c>
      <c r="B92">
        <v>31</v>
      </c>
    </row>
    <row r="93" spans="1:2" x14ac:dyDescent="0.2">
      <c r="A93">
        <v>8</v>
      </c>
      <c r="B93">
        <v>31</v>
      </c>
    </row>
    <row r="94" spans="1:2" x14ac:dyDescent="0.2">
      <c r="A94">
        <v>9</v>
      </c>
      <c r="B94">
        <v>31</v>
      </c>
    </row>
    <row r="95" spans="1:2" x14ac:dyDescent="0.2">
      <c r="A95">
        <v>10</v>
      </c>
      <c r="B95">
        <v>31</v>
      </c>
    </row>
    <row r="96" spans="1:2" x14ac:dyDescent="0.2">
      <c r="A96">
        <v>11</v>
      </c>
      <c r="B96">
        <v>31</v>
      </c>
    </row>
    <row r="97" spans="1:2" x14ac:dyDescent="0.2">
      <c r="A97">
        <v>12</v>
      </c>
      <c r="B97">
        <v>31</v>
      </c>
    </row>
    <row r="98" spans="1:2" x14ac:dyDescent="0.2">
      <c r="A98">
        <v>13</v>
      </c>
      <c r="B98">
        <v>31</v>
      </c>
    </row>
    <row r="99" spans="1:2" x14ac:dyDescent="0.2">
      <c r="A99">
        <v>1</v>
      </c>
      <c r="B99">
        <v>32</v>
      </c>
    </row>
    <row r="100" spans="1:2" x14ac:dyDescent="0.2">
      <c r="A100">
        <v>2</v>
      </c>
      <c r="B100">
        <v>32</v>
      </c>
    </row>
    <row r="101" spans="1:2" x14ac:dyDescent="0.2">
      <c r="A101">
        <v>3</v>
      </c>
      <c r="B101">
        <v>32</v>
      </c>
    </row>
    <row r="102" spans="1:2" x14ac:dyDescent="0.2">
      <c r="A102">
        <v>7</v>
      </c>
      <c r="B102">
        <v>32</v>
      </c>
    </row>
    <row r="103" spans="1:2" x14ac:dyDescent="0.2">
      <c r="A103">
        <v>8</v>
      </c>
      <c r="B103">
        <v>32</v>
      </c>
    </row>
    <row r="104" spans="1:2" x14ac:dyDescent="0.2">
      <c r="A104">
        <v>3</v>
      </c>
      <c r="B104">
        <v>33</v>
      </c>
    </row>
    <row r="105" spans="1:2" x14ac:dyDescent="0.2">
      <c r="A105">
        <v>3</v>
      </c>
      <c r="B105">
        <v>34</v>
      </c>
    </row>
    <row r="106" spans="1:2" x14ac:dyDescent="0.2">
      <c r="A106">
        <v>4</v>
      </c>
      <c r="B106">
        <v>34</v>
      </c>
    </row>
    <row r="107" spans="1:2" x14ac:dyDescent="0.2">
      <c r="A107">
        <v>5</v>
      </c>
      <c r="B107">
        <v>34</v>
      </c>
    </row>
    <row r="108" spans="1:2" x14ac:dyDescent="0.2">
      <c r="A108">
        <v>6</v>
      </c>
      <c r="B108">
        <v>34</v>
      </c>
    </row>
    <row r="109" spans="1:2" x14ac:dyDescent="0.2">
      <c r="A109">
        <v>14</v>
      </c>
      <c r="B109">
        <v>12</v>
      </c>
    </row>
    <row r="110" spans="1:2" x14ac:dyDescent="0.2">
      <c r="A110">
        <v>14</v>
      </c>
      <c r="B110">
        <v>18</v>
      </c>
    </row>
    <row r="111" spans="1:2" x14ac:dyDescent="0.2">
      <c r="A111">
        <v>14</v>
      </c>
      <c r="B111">
        <v>31</v>
      </c>
    </row>
    <row r="112" spans="1:2" x14ac:dyDescent="0.2">
      <c r="A112">
        <v>14</v>
      </c>
      <c r="B112">
        <v>32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E347-E029-E746-9C1D-0A5819796CE1}">
  <sheetPr codeName="Sheet7"/>
  <dimension ref="A1:B6"/>
  <sheetViews>
    <sheetView workbookViewId="0">
      <selection sqref="A1:B1"/>
    </sheetView>
  </sheetViews>
  <sheetFormatPr baseColWidth="10" defaultRowHeight="16" x14ac:dyDescent="0.2"/>
  <cols>
    <col min="1" max="1" width="14.1640625" customWidth="1"/>
    <col min="2" max="2" width="17.5" bestFit="1" customWidth="1"/>
    <col min="3" max="3" width="18" customWidth="1"/>
  </cols>
  <sheetData>
    <row r="1" spans="1:2" x14ac:dyDescent="0.2">
      <c r="A1" t="s">
        <v>119</v>
      </c>
      <c r="B1" t="s">
        <v>120</v>
      </c>
    </row>
    <row r="2" spans="1:2" x14ac:dyDescent="0.2">
      <c r="A2">
        <v>1</v>
      </c>
      <c r="B2" t="s">
        <v>33</v>
      </c>
    </row>
    <row r="3" spans="1:2" x14ac:dyDescent="0.2">
      <c r="A3">
        <v>2</v>
      </c>
      <c r="B3" t="s">
        <v>34</v>
      </c>
    </row>
    <row r="4" spans="1:2" x14ac:dyDescent="0.2">
      <c r="A4">
        <v>3</v>
      </c>
      <c r="B4" t="s">
        <v>35</v>
      </c>
    </row>
    <row r="5" spans="1:2" x14ac:dyDescent="0.2">
      <c r="A5">
        <v>4</v>
      </c>
      <c r="B5" t="s">
        <v>36</v>
      </c>
    </row>
    <row r="6" spans="1:2" x14ac:dyDescent="0.2">
      <c r="A6">
        <v>5</v>
      </c>
      <c r="B6" t="s">
        <v>37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8B25-842F-8C43-8297-CB629E663B7F}">
  <sheetPr codeName="Sheet6"/>
  <dimension ref="A1:C6"/>
  <sheetViews>
    <sheetView workbookViewId="0">
      <selection activeCell="G18" sqref="G18"/>
    </sheetView>
  </sheetViews>
  <sheetFormatPr baseColWidth="10" defaultRowHeight="16" x14ac:dyDescent="0.2"/>
  <cols>
    <col min="1" max="1" width="12" customWidth="1"/>
    <col min="2" max="2" width="14.1640625" customWidth="1"/>
    <col min="3" max="3" width="15.1640625" bestFit="1" customWidth="1"/>
    <col min="4" max="4" width="15.1640625" customWidth="1"/>
  </cols>
  <sheetData>
    <row r="1" spans="1:3" x14ac:dyDescent="0.2">
      <c r="A1" t="s">
        <v>103</v>
      </c>
      <c r="B1" t="s">
        <v>119</v>
      </c>
      <c r="C1" t="s">
        <v>121</v>
      </c>
    </row>
    <row r="2" spans="1:3" x14ac:dyDescent="0.2">
      <c r="A2">
        <v>1</v>
      </c>
      <c r="B2">
        <v>1</v>
      </c>
      <c r="C2">
        <v>4</v>
      </c>
    </row>
    <row r="3" spans="1:3" x14ac:dyDescent="0.2">
      <c r="A3">
        <v>1</v>
      </c>
      <c r="B3">
        <v>2</v>
      </c>
      <c r="C3">
        <v>3</v>
      </c>
    </row>
    <row r="4" spans="1:3" x14ac:dyDescent="0.2">
      <c r="A4">
        <v>1</v>
      </c>
      <c r="B4">
        <v>3</v>
      </c>
      <c r="C4">
        <v>2</v>
      </c>
    </row>
    <row r="5" spans="1:3" x14ac:dyDescent="0.2">
      <c r="A5">
        <v>1</v>
      </c>
      <c r="B5">
        <v>4</v>
      </c>
      <c r="C5">
        <v>1</v>
      </c>
    </row>
    <row r="6" spans="1:3" x14ac:dyDescent="0.2">
      <c r="A6">
        <v>1</v>
      </c>
      <c r="B6">
        <v>5</v>
      </c>
      <c r="C6">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8D27-3CE0-CA45-B42B-DEA7EC6C5623}">
  <dimension ref="A1:B5"/>
  <sheetViews>
    <sheetView workbookViewId="0">
      <selection activeCell="B1" sqref="A1:B1"/>
    </sheetView>
  </sheetViews>
  <sheetFormatPr baseColWidth="10" defaultRowHeight="16" x14ac:dyDescent="0.2"/>
  <cols>
    <col min="1" max="1" width="12.6640625" bestFit="1" customWidth="1"/>
    <col min="2" max="2" width="15.83203125" bestFit="1" customWidth="1"/>
  </cols>
  <sheetData>
    <row r="1" spans="1:2" x14ac:dyDescent="0.2">
      <c r="A1" s="24" t="s">
        <v>121</v>
      </c>
      <c r="B1" s="25" t="s">
        <v>122</v>
      </c>
    </row>
    <row r="2" spans="1:2" x14ac:dyDescent="0.2">
      <c r="A2" s="11">
        <v>1</v>
      </c>
      <c r="B2" s="12" t="s">
        <v>67</v>
      </c>
    </row>
    <row r="3" spans="1:2" x14ac:dyDescent="0.2">
      <c r="A3" s="13">
        <v>2</v>
      </c>
      <c r="B3" s="14" t="s">
        <v>66</v>
      </c>
    </row>
    <row r="4" spans="1:2" x14ac:dyDescent="0.2">
      <c r="A4" s="11">
        <v>3</v>
      </c>
      <c r="B4" s="12" t="s">
        <v>65</v>
      </c>
    </row>
    <row r="5" spans="1:2" x14ac:dyDescent="0.2">
      <c r="A5" s="13">
        <v>4</v>
      </c>
      <c r="B5" s="1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person</vt:lpstr>
      <vt:lpstr>domain</vt:lpstr>
      <vt:lpstr>activity</vt:lpstr>
      <vt:lpstr>activity_domain</vt:lpstr>
      <vt:lpstr>certificates</vt:lpstr>
      <vt:lpstr>certificates_domain</vt:lpstr>
      <vt:lpstr>portfolio</vt:lpstr>
      <vt:lpstr>portfolio_domain</vt:lpstr>
      <vt:lpstr>skills</vt:lpstr>
      <vt:lpstr>person_skills</vt:lpstr>
      <vt:lpstr>portfolio_skills</vt:lpstr>
      <vt:lpstr>tools</vt:lpstr>
      <vt:lpstr>person_tools</vt:lpstr>
      <vt:lpstr>portfolio_tools</vt:lpstr>
      <vt:lpstr>languages</vt:lpstr>
      <vt:lpstr>person_languages</vt:lpstr>
      <vt:lpstr>languages_proficiency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Cedric Hering-Peter</dc:creator>
  <cp:lastModifiedBy>Cedric Hering-Peter</cp:lastModifiedBy>
  <dcterms:created xsi:type="dcterms:W3CDTF">2025-08-07T21:41:06Z</dcterms:created>
  <dcterms:modified xsi:type="dcterms:W3CDTF">2026-04-09T20:58:16Z</dcterms:modified>
</cp:coreProperties>
</file>