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codeName="ThisWorkbook" defaultThemeVersion="202300"/>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99E96409-C800-0349-BEEE-220968F245C2}" xr6:coauthVersionLast="47" xr6:coauthVersionMax="47" xr10:uidLastSave="{00000000-0000-0000-0000-000000000000}"/>
  <bookViews>
    <workbookView xWindow="680" yWindow="600" windowWidth="50520" windowHeight="28200" activeTab="6"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<sst xmlns="http://schemas.openxmlformats.org/spreadsheetml/2006/main" count="424" uniqueCount="300">
  <si>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</si>
  <si>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</si>
  <si>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</si>
  <si>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</si>
  <si>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</si>
  <si>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</si>
  <si>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</si>
  <si>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</si>
  <si>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</si>
  <si>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</si>
  <si>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</si>
  <si>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</si>
  <si>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</si>
  <si>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</si>
  <si>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</si>
  <si>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</si>
  <si>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</si>
  <si>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</si>
  <si>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</si>
  <si>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</si>
  <si>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</si>
  <si>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</si>
  <si>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</si>
  <si>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</si>
  <si>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</si>
  <si>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</si>
  <si>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</si>
  <si>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</si>
  <si>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</si>
  <si>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</si>
  <si>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</si>
  <si>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</si>
  <si>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</si>
  <si>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</si>
  <si>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</si>
  <si>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</si>
  <si>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</si>
  <si>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</si>
  <si>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</si>
  <si>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</si>
  <si>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</si>
  <si>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</si>
  <si>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</si>
  <si>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</si>
  <si>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</si>
  <si>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</si>
  <si>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</si>
  <si>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</si>
  <si>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</si>
  <si>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</si>
  <si>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</si>
  <si>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</si>
  <si>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</si>
  <si>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</si>
  <si>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</si>
  <si>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</si>
  <si>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</si>
  <si>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</si>
  <si>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</si>
  <si>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</si>
  <si>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</si>
  <si>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</si>
  <si>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</si>
  <si>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</si>
  <si>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</si>
  <si>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</si>
  <si>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</si>
  <si>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</si>
  <si>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</si>
  <si>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</si>
  <si>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</si>
  <si>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</si>
  <si>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</si>
  <si>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</si>
  <si>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</si>
  <si>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</si>
  <si>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</si>
  <si>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</si>
  <si>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</si>
  <si>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</si>
  <si>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</si>
  <si>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</si>
  <si>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</si>
  <si>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</si>
  <si>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</si>
  <si>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</si>
  <si>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</si>
  <si>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</si>
  <si>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</si>
  <si>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</si>
  <si>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</si>
  <si>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</si>
  <si>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</si>
  <si>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</si>
  <si>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</si>
  <si>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</si>
  <si>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</si>
  <si>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</si>
  <si>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</si>
  <si>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</si>
  <si>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</si>
  <si>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</si>
  <si>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</si>
  <si>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</si>
  <si>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</si>
  <si>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</si>
  <si>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</si>
  <si>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</si>
  <si>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</si>
  <si>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</si>
  <si>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</si>
  <si>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</si>
  <si>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</si>
  <si>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</si>
  <si>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</si>
  <si>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</si>
  <si>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</si>
  <si>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</si>
  <si>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</si>
  <si>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</si>
  <si>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</si>
  <si>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</si>
  <si>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</si>
  <si>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</si>
  <si>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</si>
  <si>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</si>
  <si>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</si>
  <si>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</si>
  <si>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</si>
  <si>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</si>
  <si>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</si>
  <si>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</si>
  <si>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</si>
  <si>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</si>
  <si>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</si>
  <si>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</si>
  <si>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</si>
  <si>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</si>
  <si>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</si>
  <si>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</si>
  <si>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</si>
  <si>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</si>
  <si>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</si>
  <si>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</si>
  <si>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</si>
  <si>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</si>
  <si>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</si>
  <si>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</si>
  <si>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</si>
  <si>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</si>
  <si>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</si>
  <si>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</si>
  <si>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</si>
  <si>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</si>
  <si>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</si>
  <si>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</si>
  <si>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</si>
  <si>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</si>
  <si>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</si>
  <si>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</si>
  <si>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</si>
  <si>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</si>
  <si>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</si>
  <si>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</si>
  <si>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</si>
  <si>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</si>
  <si>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</si>
  <si>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</si>
  <si>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</si>
  <si>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</si>
  <si>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</si>
  <si>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</si>
  <si>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</si>
  <si>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</si>
  <si>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</si>
  <si>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</si>
  <si>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</si>
  <si>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</si>
  <si>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</si>
  <si>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</si>
  <si>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</si>
  <si>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</si>
  <si>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</si>
  <si>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</si>
  <si>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</si>
  <si>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</si>
  <si>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</si>
  <si>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</si>
  <si>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</si>
  <si>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</si>
  <si>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</si>
  <si>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</si>
  <si>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</si>
  <si>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knowledge base creation, meeting documentation, collaboration</t>
  </si>
  <si>
    <t>project management, collaboration</t>
  </si>
  <si>
    <t>imaging, imageJ, fiji</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</si>
  <si>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</si>
  <si>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</si>
  <si>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</si>
  <si>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</si>
  <si>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</si>
  <si>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</si>
  <si>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</si>
  <si>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</si>
  <si>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</si>
  <si>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</si>
  <si>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</si>
  <si>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</si>
  <si>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</si>
  <si>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</si>
  <si>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</si>
  <si>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</si>
  <si>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</si>
  <si>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</si>
  <si>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</si>
  <si>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</si>
  <si>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</si>
  <si>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</si>
  <si>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</si>
  <si>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</si>
  <si>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</si>
  <si>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</si>
  <si>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</si>
  <si>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</si>
  <si>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</si>
  <si>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</si>
  <si>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</si>
  <si>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</si>
  <si>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</si>
  <si>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</si>
  <si>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</si>
  <si>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</si>
  <si>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</si>
  <si>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</si>
  <si>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</si>
  <si>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</si>
  <si>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</si>
  <si>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</si>
  <si>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</si>
  <si>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</si>
  <si>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</si>
  <si>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</si>
  <si>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</si>
  <si>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</si>
  <si>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</si>
  <si>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</si>
  <si>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</si>
  <si>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</si>
  <si>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</si>
  <si>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</si>
  <si>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</si>
  <si>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</si>
  <si>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</si>
  <si>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</si>
  <si>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</si>
  <si>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</si>
  <si>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</si>
  <si>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</si>
  <si>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</si>
  <si>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</si>
  <si>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</si>
  <si>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</si>
  <si>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</si>
  <si>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</si>
  <si>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</si>
  <si>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</si>
  <si>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</si>
  <si>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</si>
  <si>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</si>
  <si>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</si>
  <si>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</si>
  <si>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MS Excel</t>
  </si>
  <si>
    <t>MS Word</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</si>
  <si>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</si>
  <si>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</si>
  <si>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</si>
  <si>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</si>
  <si>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</si>
  <si>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</si>
  <si>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</si>
  <si>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</si>
  <si>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Journal  of Applied Phycology</t>
  </si>
  <si>
    <t>Paper in Algal    Research</t>
  </si>
  <si>
    <t>Following my graduation, I specialized in the field of biology, where I explored the beauty and detailed mechanisms of animals, plants and microorganisms.</t>
  </si>
  <si>
    <t>#DataAnalysis #Python #DataVisualization</t>
  </si>
  <si>
    <t>I thrive at the intersection of science, innovation and data. My path taught me to adapt quickly, communicate effectively and create serious impact across diverse contexts. Along my way, I have learned to shape projects strategically and transform complex information into accessible insights through clear visualization and compelling storytelling.</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</si>
  <si>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</si>
  <si>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t>
  </si>
  <si>
    <t>I processed and analyzed large-scale biological datasets (metagenomic sequencing data) to uncover meaningful patterns. I designed reproducible data workflows and developed scientific models using Python, employing statistical analysis and multivariate techniques. Finally, I published my findings in peer-reviewed journals.</t>
  </si>
  <si>
    <t>Consultant</t>
  </si>
  <si>
    <t>Researcher</t>
  </si>
  <si>
    <t>QGIS: Beginner to Advanced</t>
  </si>
  <si>
    <t>2026-06-02_Udemy_QGIS.jpg</t>
  </si>
  <si>
    <t>Data Analysis           (SQL, BI &amp; Excel)</t>
  </si>
  <si>
    <t>MS Planner</t>
  </si>
  <si>
    <t>agentic coding, python &amp; C# programming, jupyter notebook</t>
  </si>
  <si>
    <t>agile tasks, project tracking, documentation</t>
  </si>
  <si>
    <t>fluorescence imaging, z-stack imaging</t>
  </si>
  <si>
    <t>https://doi.org/10.1016/j.biortech.2026.135341</t>
  </si>
  <si>
    <t>Paper in Biore-   source 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</si>
</sst>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7"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
      <sz val="12"/>
      <color theme="1"/>
      <name val="Aptos"/>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2">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xf numFmtId="0" fontId="6" fillId="0" borderId="0" xfId="0" applyFont="1"/>
  </cellXfs>
  <cellStyles count="3">
    <cellStyle name="Hyperlink" xfId="1" builtinId="8"/>
    <cellStyle name="Normal" xfId="0" builtinId="0"/>
    <cellStyle name="Per cent" xfId="2" builtinId="5"/>
  </cellStyles>
  <dxfs count="10">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G2" totalsRowShown="0">
  <autoFilter ref="A1:G2" xr:uid="{9D7F923B-7B23-7B4C-9250-DE534D0C77CD}"/>
  <tableColumns count="7">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7"/>
    <tableColumn id="6" xr3:uid="{B967E793-1F53-A448-B344-EC57AFC8844D}" name="end_date" dataDxfId="6"/>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5"/>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4" totalsRowShown="0">
  <autoFilter ref="A1:B74"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9"/>
    <tableColumn id="14" xr3:uid="{B8D40936-6AA7-A74A-ACA0-517CCCC4CB7F}" name="end_date" dataDxfId="8"/>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65" totalsRowShown="0">
  <autoFilter ref="A1:B165"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hyperlink" Target="https://doi.org/10.1016/j.biortech.2026.135341" TargetMode="Externa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 Id="rId9"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G2"/>
  <sheetViews>
    <sheetView topLeftCell="C1" workbookViewId="0">
      <selection activeCell="H9" sqref="H9"/>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9" width="20.33203125" bestFit="1" customWidth="1"/>
  </cols>
  <sheetData>
    <row r="1" spans="1:7" x14ac:dyDescent="0.2">
      <c r="A1" t="s">
        <v>89</v>
      </c>
      <c r="B1" t="s">
        <v>90</v>
      </c>
      <c r="C1" t="s">
        <v>91</v>
      </c>
      <c r="D1" t="s">
        <v>92</v>
      </c>
      <c r="E1" t="s">
        <v>126</v>
      </c>
      <c r="F1" t="s">
        <v>124</v>
      </c>
      <c r="G1" t="s">
        <v>125</v>
      </c>
    </row>
    <row r="2" spans="1:7" x14ac:dyDescent="0.2">
      <c r="A2">
        <v>1</v>
      </c>
      <c r="B2" t="s">
        <v>86</v>
      </c>
      <c r="C2" t="s">
        <v>87</v>
      </c>
      <c r="D2" t="s">
        <v>88</v>
      </c>
      <c r="E2" t="s">
        <v>127</v>
      </c>
      <c r="F2" t="s">
        <v>122</v>
      </c>
      <c r="G2" t="s">
        <v>123</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workbookViewId="0">
      <selection activeCell="C25" sqref="C25"/>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113</v>
      </c>
      <c r="B1" t="s">
        <v>115</v>
      </c>
      <c r="C1" t="s">
        <v>120</v>
      </c>
      <c r="D1" t="s">
        <v>97</v>
      </c>
      <c r="E1" t="s">
        <v>162</v>
      </c>
    </row>
    <row r="2" spans="1:5" x14ac:dyDescent="0.2">
      <c r="A2">
        <v>0</v>
      </c>
      <c r="B2" t="s">
        <v>69</v>
      </c>
      <c r="C2" t="s">
        <v>158</v>
      </c>
      <c r="D2" t="s">
        <v>285</v>
      </c>
      <c r="E2" t="s">
        <v>159</v>
      </c>
    </row>
    <row r="3" spans="1:5" x14ac:dyDescent="0.2">
      <c r="A3">
        <v>1</v>
      </c>
      <c r="B3" t="s">
        <v>2</v>
      </c>
      <c r="D3" s="31" t="s">
        <v>283</v>
      </c>
    </row>
    <row r="4" spans="1:5" x14ac:dyDescent="0.2">
      <c r="A4">
        <v>2</v>
      </c>
      <c r="B4" t="s">
        <v>290</v>
      </c>
      <c r="C4" t="s">
        <v>238</v>
      </c>
      <c r="D4" s="8" t="s">
        <v>286</v>
      </c>
      <c r="E4" t="s">
        <v>161</v>
      </c>
    </row>
    <row r="5" spans="1:5" x14ac:dyDescent="0.2">
      <c r="A5">
        <v>3</v>
      </c>
      <c r="B5" t="s">
        <v>289</v>
      </c>
      <c r="C5" t="s">
        <v>237</v>
      </c>
      <c r="D5" t="s">
        <v>287</v>
      </c>
      <c r="E5" t="s">
        <v>160</v>
      </c>
    </row>
    <row r="6" spans="1:5" x14ac:dyDescent="0.2">
      <c r="A6">
        <v>4</v>
      </c>
      <c r="B6" t="s">
        <v>118</v>
      </c>
      <c r="C6" t="s">
        <v>239</v>
      </c>
      <c r="D6" t="s">
        <v>288</v>
      </c>
      <c r="E6" t="s">
        <v>284</v>
      </c>
    </row>
    <row r="7" spans="1:5" x14ac:dyDescent="0.2">
      <c r="A7">
        <v>5</v>
      </c>
      <c r="B7" t="s">
        <v>117</v>
      </c>
      <c r="D7" t="s">
        <v>274</v>
      </c>
    </row>
    <row r="8" spans="1:5" x14ac:dyDescent="0.2">
      <c r="A8">
        <v>6</v>
      </c>
      <c r="B8" t="s">
        <v>119</v>
      </c>
      <c r="D8" t="s">
        <v>275</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D42" sqref="D42"/>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114</v>
      </c>
      <c r="B1" t="s">
        <v>89</v>
      </c>
      <c r="C1" t="s">
        <v>90</v>
      </c>
      <c r="D1" t="s">
        <v>96</v>
      </c>
      <c r="E1" t="s">
        <v>93</v>
      </c>
      <c r="F1" t="s">
        <v>94</v>
      </c>
      <c r="G1" t="s">
        <v>95</v>
      </c>
      <c r="H1" t="s">
        <v>97</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104</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107</v>
      </c>
      <c r="D7" t="s">
        <v>13</v>
      </c>
      <c r="E7" t="s">
        <v>15</v>
      </c>
      <c r="F7" s="4">
        <v>42965</v>
      </c>
      <c r="G7" s="4">
        <v>43115</v>
      </c>
      <c r="H7" t="s">
        <v>14</v>
      </c>
    </row>
    <row r="8" spans="1:8" x14ac:dyDescent="0.2">
      <c r="A8">
        <v>7</v>
      </c>
      <c r="B8">
        <v>1</v>
      </c>
      <c r="C8" t="s">
        <v>105</v>
      </c>
      <c r="D8" t="s">
        <v>8</v>
      </c>
      <c r="E8" t="s">
        <v>9</v>
      </c>
      <c r="F8" s="4">
        <v>43191</v>
      </c>
      <c r="G8" s="4">
        <v>44334</v>
      </c>
      <c r="H8" t="s">
        <v>59</v>
      </c>
    </row>
    <row r="9" spans="1:8" x14ac:dyDescent="0.2">
      <c r="A9">
        <v>8</v>
      </c>
      <c r="B9">
        <v>1</v>
      </c>
      <c r="C9" t="s">
        <v>106</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121</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114</v>
      </c>
      <c r="B1" t="s">
        <v>113</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4"/>
  <sheetViews>
    <sheetView workbookViewId="0">
      <selection activeCell="C19" sqref="C1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133</v>
      </c>
      <c r="B1" t="s">
        <v>89</v>
      </c>
      <c r="C1" t="s">
        <v>115</v>
      </c>
      <c r="D1" t="s">
        <v>140</v>
      </c>
      <c r="E1" t="s">
        <v>139</v>
      </c>
      <c r="F1" t="s">
        <v>245</v>
      </c>
    </row>
    <row r="2" spans="1:6" x14ac:dyDescent="0.2">
      <c r="A2">
        <v>1</v>
      </c>
      <c r="B2">
        <v>1</v>
      </c>
      <c r="C2" t="s">
        <v>137</v>
      </c>
      <c r="D2" t="s">
        <v>141</v>
      </c>
      <c r="E2" s="4">
        <v>38156</v>
      </c>
      <c r="F2" t="s">
        <v>246</v>
      </c>
    </row>
    <row r="3" spans="1:6" x14ac:dyDescent="0.2">
      <c r="A3">
        <v>2</v>
      </c>
      <c r="B3">
        <v>1</v>
      </c>
      <c r="C3" t="s">
        <v>0</v>
      </c>
      <c r="D3" t="s">
        <v>142</v>
      </c>
      <c r="E3" s="4">
        <v>41422</v>
      </c>
      <c r="F3" t="s">
        <v>247</v>
      </c>
    </row>
    <row r="4" spans="1:6" x14ac:dyDescent="0.2">
      <c r="A4">
        <v>3</v>
      </c>
      <c r="B4">
        <v>1</v>
      </c>
      <c r="C4" t="s">
        <v>138</v>
      </c>
      <c r="D4" t="s">
        <v>143</v>
      </c>
      <c r="E4" s="4">
        <v>42447</v>
      </c>
      <c r="F4" t="s">
        <v>248</v>
      </c>
    </row>
    <row r="5" spans="1:6" x14ac:dyDescent="0.2">
      <c r="A5">
        <v>4</v>
      </c>
      <c r="B5">
        <v>1</v>
      </c>
      <c r="C5" t="s">
        <v>144</v>
      </c>
      <c r="D5" t="s">
        <v>143</v>
      </c>
      <c r="E5" s="4">
        <v>42668</v>
      </c>
      <c r="F5" t="s">
        <v>249</v>
      </c>
    </row>
    <row r="6" spans="1:6" x14ac:dyDescent="0.2">
      <c r="A6">
        <v>5</v>
      </c>
      <c r="B6">
        <v>1</v>
      </c>
      <c r="C6" t="s">
        <v>145</v>
      </c>
      <c r="D6" t="s">
        <v>143</v>
      </c>
      <c r="E6" s="4">
        <v>43199</v>
      </c>
      <c r="F6" t="s">
        <v>250</v>
      </c>
    </row>
    <row r="7" spans="1:6" x14ac:dyDescent="0.2">
      <c r="A7">
        <v>6</v>
      </c>
      <c r="B7">
        <v>1</v>
      </c>
      <c r="C7" t="s">
        <v>146</v>
      </c>
      <c r="D7" s="24" t="s">
        <v>143</v>
      </c>
      <c r="E7" s="4">
        <v>43705</v>
      </c>
      <c r="F7" t="s">
        <v>251</v>
      </c>
    </row>
    <row r="8" spans="1:6" x14ac:dyDescent="0.2">
      <c r="A8">
        <v>7</v>
      </c>
      <c r="B8">
        <v>1</v>
      </c>
      <c r="C8" t="s">
        <v>147</v>
      </c>
      <c r="D8" t="s">
        <v>143</v>
      </c>
      <c r="E8" s="4">
        <v>44256</v>
      </c>
      <c r="F8" t="s">
        <v>252</v>
      </c>
    </row>
    <row r="9" spans="1:6" x14ac:dyDescent="0.2">
      <c r="A9">
        <v>8</v>
      </c>
      <c r="B9">
        <v>1</v>
      </c>
      <c r="C9" t="s">
        <v>149</v>
      </c>
      <c r="D9" t="s">
        <v>143</v>
      </c>
      <c r="E9" s="4">
        <v>44301</v>
      </c>
      <c r="F9" t="s">
        <v>253</v>
      </c>
    </row>
    <row r="10" spans="1:6" x14ac:dyDescent="0.2">
      <c r="A10">
        <v>9</v>
      </c>
      <c r="B10">
        <v>1</v>
      </c>
      <c r="C10" t="s">
        <v>150</v>
      </c>
      <c r="D10" t="s">
        <v>143</v>
      </c>
      <c r="E10" s="4">
        <v>44375</v>
      </c>
      <c r="F10" t="s">
        <v>254</v>
      </c>
    </row>
    <row r="11" spans="1:6" x14ac:dyDescent="0.2">
      <c r="A11">
        <v>10</v>
      </c>
      <c r="B11">
        <v>1</v>
      </c>
      <c r="C11" t="s">
        <v>151</v>
      </c>
      <c r="D11" t="s">
        <v>233</v>
      </c>
      <c r="E11" s="4">
        <v>44440</v>
      </c>
      <c r="F11" t="s">
        <v>255</v>
      </c>
    </row>
    <row r="12" spans="1:6" x14ac:dyDescent="0.2">
      <c r="A12">
        <v>11</v>
      </c>
      <c r="B12">
        <v>1</v>
      </c>
      <c r="C12" t="s">
        <v>152</v>
      </c>
      <c r="D12" t="s">
        <v>233</v>
      </c>
      <c r="E12" s="4">
        <v>45149</v>
      </c>
      <c r="F12" t="s">
        <v>256</v>
      </c>
    </row>
    <row r="13" spans="1:6" x14ac:dyDescent="0.2">
      <c r="A13">
        <v>12</v>
      </c>
      <c r="B13">
        <v>1</v>
      </c>
      <c r="C13" t="s">
        <v>153</v>
      </c>
      <c r="D13" t="s">
        <v>234</v>
      </c>
      <c r="E13" s="4">
        <v>45273</v>
      </c>
      <c r="F13" t="s">
        <v>257</v>
      </c>
    </row>
    <row r="14" spans="1:6" x14ac:dyDescent="0.2">
      <c r="A14">
        <v>13</v>
      </c>
      <c r="B14">
        <v>1</v>
      </c>
      <c r="C14" t="s">
        <v>154</v>
      </c>
      <c r="D14" t="s">
        <v>234</v>
      </c>
      <c r="E14" s="4">
        <v>45441</v>
      </c>
      <c r="F14" t="s">
        <v>258</v>
      </c>
    </row>
    <row r="15" spans="1:6" x14ac:dyDescent="0.2">
      <c r="A15">
        <v>14</v>
      </c>
      <c r="B15">
        <v>1</v>
      </c>
      <c r="C15" t="s">
        <v>155</v>
      </c>
      <c r="D15" t="s">
        <v>234</v>
      </c>
      <c r="E15" s="4">
        <v>45492</v>
      </c>
      <c r="F15" t="s">
        <v>259</v>
      </c>
    </row>
    <row r="16" spans="1:6" x14ac:dyDescent="0.2">
      <c r="A16">
        <v>15</v>
      </c>
      <c r="B16">
        <v>1</v>
      </c>
      <c r="C16" t="s">
        <v>148</v>
      </c>
      <c r="D16" t="s">
        <v>234</v>
      </c>
      <c r="E16" s="4">
        <v>45741</v>
      </c>
      <c r="F16" t="s">
        <v>260</v>
      </c>
    </row>
    <row r="17" spans="1:6" x14ac:dyDescent="0.2">
      <c r="A17">
        <v>16</v>
      </c>
      <c r="B17">
        <v>1</v>
      </c>
      <c r="C17" t="s">
        <v>156</v>
      </c>
      <c r="D17" t="s">
        <v>234</v>
      </c>
      <c r="E17" s="4">
        <v>45805</v>
      </c>
      <c r="F17" t="s">
        <v>261</v>
      </c>
    </row>
    <row r="18" spans="1:6" x14ac:dyDescent="0.2">
      <c r="A18">
        <v>17</v>
      </c>
      <c r="B18">
        <v>1</v>
      </c>
      <c r="C18" t="s">
        <v>157</v>
      </c>
      <c r="D18" t="s">
        <v>233</v>
      </c>
      <c r="E18" s="4">
        <v>45805</v>
      </c>
      <c r="F18" t="s">
        <v>262</v>
      </c>
    </row>
    <row r="19" spans="1:6" x14ac:dyDescent="0.2">
      <c r="A19">
        <v>18</v>
      </c>
      <c r="B19">
        <v>1</v>
      </c>
      <c r="C19" t="s">
        <v>293</v>
      </c>
      <c r="D19" t="s">
        <v>233</v>
      </c>
      <c r="E19" s="4">
        <v>45867</v>
      </c>
      <c r="F19" t="s">
        <v>263</v>
      </c>
    </row>
    <row r="20" spans="1:6" x14ac:dyDescent="0.2">
      <c r="A20">
        <v>19</v>
      </c>
      <c r="B20">
        <v>1</v>
      </c>
      <c r="C20" t="s">
        <v>264</v>
      </c>
      <c r="D20" t="s">
        <v>265</v>
      </c>
      <c r="E20" s="4">
        <v>46108</v>
      </c>
      <c r="F20" t="s">
        <v>266</v>
      </c>
    </row>
    <row r="21" spans="1:6" x14ac:dyDescent="0.2">
      <c r="A21">
        <v>20</v>
      </c>
      <c r="B21">
        <v>1</v>
      </c>
      <c r="C21" t="s">
        <v>291</v>
      </c>
      <c r="D21" t="s">
        <v>233</v>
      </c>
      <c r="E21" s="4">
        <v>46175</v>
      </c>
      <c r="F21" t="s">
        <v>292</v>
      </c>
    </row>
    <row r="22" spans="1:6" x14ac:dyDescent="0.2">
      <c r="E22" s="4"/>
    </row>
    <row r="23" spans="1:6" x14ac:dyDescent="0.2">
      <c r="E23" s="4"/>
    </row>
    <row r="24" spans="1:6" x14ac:dyDescent="0.2">
      <c r="E2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4"/>
  <sheetViews>
    <sheetView topLeftCell="A8" workbookViewId="0">
      <selection activeCell="B73" sqref="B73"/>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133</v>
      </c>
      <c r="B1" t="s">
        <v>113</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row r="73" spans="1:2" x14ac:dyDescent="0.2">
      <c r="A73">
        <v>20</v>
      </c>
      <c r="B73">
        <v>0</v>
      </c>
    </row>
    <row r="74" spans="1:2" x14ac:dyDescent="0.2">
      <c r="A74">
        <v>20</v>
      </c>
      <c r="B74">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tabSelected="1" topLeftCell="A3" zoomScaleNormal="100" workbookViewId="0">
      <selection activeCell="C6" sqref="C6"/>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98</v>
      </c>
      <c r="B1" t="s">
        <v>89</v>
      </c>
      <c r="C1" t="s">
        <v>90</v>
      </c>
      <c r="D1" t="s">
        <v>97</v>
      </c>
      <c r="E1" t="s">
        <v>94</v>
      </c>
      <c r="F1" t="s">
        <v>95</v>
      </c>
      <c r="G1" t="s">
        <v>134</v>
      </c>
      <c r="H1" t="s">
        <v>99</v>
      </c>
    </row>
    <row r="2" spans="1:8" x14ac:dyDescent="0.2">
      <c r="A2">
        <v>1</v>
      </c>
      <c r="B2">
        <v>1</v>
      </c>
      <c r="C2" t="s">
        <v>240</v>
      </c>
      <c r="D2" t="s">
        <v>60</v>
      </c>
      <c r="E2" s="4">
        <v>42892</v>
      </c>
      <c r="F2" s="4">
        <v>42999</v>
      </c>
      <c r="G2" s="4" t="s">
        <v>135</v>
      </c>
    </row>
    <row r="3" spans="1:8" x14ac:dyDescent="0.2">
      <c r="A3">
        <v>2</v>
      </c>
      <c r="B3">
        <v>1</v>
      </c>
      <c r="C3" t="s">
        <v>241</v>
      </c>
      <c r="D3" t="s">
        <v>59</v>
      </c>
      <c r="E3" s="4">
        <v>43915</v>
      </c>
      <c r="F3" s="4">
        <v>44277</v>
      </c>
      <c r="G3" s="4" t="s">
        <v>135</v>
      </c>
    </row>
    <row r="4" spans="1:8" x14ac:dyDescent="0.2">
      <c r="A4" s="2">
        <v>3</v>
      </c>
      <c r="B4" s="1">
        <v>1</v>
      </c>
      <c r="C4" t="s">
        <v>57</v>
      </c>
      <c r="D4" t="s">
        <v>58</v>
      </c>
      <c r="E4" s="4">
        <v>44331</v>
      </c>
      <c r="F4" s="4">
        <v>45723</v>
      </c>
      <c r="G4" s="4" t="s">
        <v>135</v>
      </c>
      <c r="H4" s="10" t="s">
        <v>63</v>
      </c>
    </row>
    <row r="5" spans="1:8" x14ac:dyDescent="0.2">
      <c r="A5">
        <v>4</v>
      </c>
      <c r="B5">
        <v>1</v>
      </c>
      <c r="C5" t="s">
        <v>282</v>
      </c>
      <c r="D5" t="s">
        <v>41</v>
      </c>
      <c r="E5" s="4">
        <v>46028</v>
      </c>
      <c r="F5" s="4">
        <v>46106</v>
      </c>
      <c r="G5" s="4" t="s">
        <v>135</v>
      </c>
      <c r="H5" s="10" t="s">
        <v>278</v>
      </c>
    </row>
    <row r="6" spans="1:8" x14ac:dyDescent="0.2">
      <c r="A6">
        <v>5</v>
      </c>
      <c r="B6">
        <v>1</v>
      </c>
      <c r="C6" t="s">
        <v>299</v>
      </c>
      <c r="D6" t="s">
        <v>276</v>
      </c>
      <c r="E6" s="4">
        <v>46105</v>
      </c>
      <c r="F6" s="4">
        <v>46211</v>
      </c>
      <c r="G6" t="s">
        <v>135</v>
      </c>
      <c r="H6" s="10" t="s">
        <v>298</v>
      </c>
    </row>
    <row r="7" spans="1:8" x14ac:dyDescent="0.2">
      <c r="A7">
        <v>6</v>
      </c>
      <c r="B7">
        <v>1</v>
      </c>
      <c r="C7" t="s">
        <v>281</v>
      </c>
      <c r="D7" t="s">
        <v>42</v>
      </c>
      <c r="E7" s="4">
        <v>45842</v>
      </c>
      <c r="F7" s="4">
        <v>46112</v>
      </c>
      <c r="G7" s="4" t="s">
        <v>135</v>
      </c>
      <c r="H7" s="10" t="s">
        <v>277</v>
      </c>
    </row>
    <row r="8" spans="1:8" x14ac:dyDescent="0.2">
      <c r="A8">
        <v>7</v>
      </c>
      <c r="B8">
        <v>1</v>
      </c>
      <c r="C8" t="s">
        <v>242</v>
      </c>
      <c r="D8" t="s">
        <v>232</v>
      </c>
      <c r="E8" s="4">
        <v>45565</v>
      </c>
      <c r="G8" t="s">
        <v>135</v>
      </c>
      <c r="H8" t="s">
        <v>64</v>
      </c>
    </row>
    <row r="9" spans="1:8" x14ac:dyDescent="0.2">
      <c r="A9">
        <v>8</v>
      </c>
      <c r="B9">
        <v>1</v>
      </c>
      <c r="C9" t="s">
        <v>243</v>
      </c>
      <c r="D9" t="s">
        <v>231</v>
      </c>
      <c r="E9" s="4">
        <v>45616</v>
      </c>
      <c r="G9" t="s">
        <v>135</v>
      </c>
      <c r="H9" t="s">
        <v>65</v>
      </c>
    </row>
    <row r="10" spans="1:8" x14ac:dyDescent="0.2">
      <c r="A10">
        <v>9</v>
      </c>
      <c r="B10">
        <v>1</v>
      </c>
      <c r="C10" t="s">
        <v>244</v>
      </c>
      <c r="D10" t="s">
        <v>228</v>
      </c>
      <c r="E10" s="4">
        <v>45565</v>
      </c>
      <c r="G10" t="s">
        <v>135</v>
      </c>
      <c r="H10" s="10" t="s">
        <v>128</v>
      </c>
    </row>
    <row r="11" spans="1:8" x14ac:dyDescent="0.2">
      <c r="A11">
        <v>10</v>
      </c>
      <c r="B11">
        <v>1</v>
      </c>
      <c r="C11" t="s">
        <v>129</v>
      </c>
      <c r="D11" t="s">
        <v>229</v>
      </c>
      <c r="E11" s="4">
        <v>45876</v>
      </c>
      <c r="F11" s="4">
        <v>46131</v>
      </c>
      <c r="G11" t="s">
        <v>135</v>
      </c>
      <c r="H11" s="10" t="s">
        <v>280</v>
      </c>
    </row>
    <row r="12" spans="1:8" x14ac:dyDescent="0.2">
      <c r="A12">
        <v>11</v>
      </c>
      <c r="B12">
        <v>1</v>
      </c>
      <c r="C12" t="s">
        <v>130</v>
      </c>
      <c r="D12" t="s">
        <v>61</v>
      </c>
      <c r="E12" s="4"/>
      <c r="G12" t="s">
        <v>136</v>
      </c>
    </row>
    <row r="13" spans="1:8" x14ac:dyDescent="0.2">
      <c r="A13">
        <v>12</v>
      </c>
      <c r="B13">
        <v>1</v>
      </c>
      <c r="C13" t="s">
        <v>131</v>
      </c>
      <c r="D13" t="s">
        <v>230</v>
      </c>
      <c r="E13" s="4">
        <v>45871</v>
      </c>
      <c r="F13" s="4"/>
      <c r="G13" t="s">
        <v>136</v>
      </c>
    </row>
    <row r="14" spans="1:8" x14ac:dyDescent="0.2">
      <c r="A14">
        <v>13</v>
      </c>
      <c r="B14">
        <v>1</v>
      </c>
      <c r="C14" t="s">
        <v>132</v>
      </c>
      <c r="D14" t="s">
        <v>62</v>
      </c>
      <c r="E14" s="4"/>
      <c r="G14" t="s">
        <v>136</v>
      </c>
    </row>
    <row r="15" spans="1:8" x14ac:dyDescent="0.2">
      <c r="A15">
        <v>14</v>
      </c>
      <c r="B15">
        <v>1</v>
      </c>
      <c r="C15" t="s">
        <v>273</v>
      </c>
      <c r="D15" t="s">
        <v>267</v>
      </c>
      <c r="E15" s="4">
        <v>45901</v>
      </c>
      <c r="F15" s="4"/>
      <c r="G15" t="s">
        <v>135</v>
      </c>
      <c r="H15" t="s">
        <v>279</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 ref="H6" r:id="rId8" xr:uid="{FA3D473E-3130-D64F-ADC5-D54F83AE276E}"/>
  </hyperlinks>
  <pageMargins left="0.7" right="0.7" top="0.75" bottom="0.75" header="0.3" footer="0.3"/>
  <pageSetup paperSize="9" orientation="portrait" horizontalDpi="0" verticalDpi="0"/>
  <tableParts count="1">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98</v>
      </c>
      <c r="B1" t="s">
        <v>113</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100</v>
      </c>
      <c r="B1" t="s">
        <v>115</v>
      </c>
      <c r="C1" t="s">
        <v>101</v>
      </c>
      <c r="D1" t="s">
        <v>102</v>
      </c>
      <c r="E1" t="s">
        <v>97</v>
      </c>
      <c r="F1" t="s">
        <v>235</v>
      </c>
    </row>
    <row r="2" spans="1:6" x14ac:dyDescent="0.2">
      <c r="A2" s="11">
        <v>1</v>
      </c>
      <c r="B2" s="12" t="s">
        <v>112</v>
      </c>
      <c r="C2" s="29" t="s">
        <v>164</v>
      </c>
      <c r="D2">
        <v>9</v>
      </c>
      <c r="E2" t="s">
        <v>206</v>
      </c>
      <c r="F2">
        <f>COUNTIF(Table8[skill_id],Table412[[#This Row],[skill_id]])</f>
        <v>9</v>
      </c>
    </row>
    <row r="3" spans="1:6" x14ac:dyDescent="0.2">
      <c r="A3" s="13">
        <v>2</v>
      </c>
      <c r="B3" s="14" t="s">
        <v>43</v>
      </c>
      <c r="C3" s="27" t="s">
        <v>164</v>
      </c>
      <c r="D3">
        <v>9</v>
      </c>
      <c r="E3" t="s">
        <v>211</v>
      </c>
      <c r="F3">
        <f>COUNTIF(Table8[skill_id],Table412[[#This Row],[skill_id]])</f>
        <v>9</v>
      </c>
    </row>
    <row r="4" spans="1:6" x14ac:dyDescent="0.2">
      <c r="A4" s="11">
        <v>3</v>
      </c>
      <c r="B4" s="12" t="s">
        <v>44</v>
      </c>
      <c r="C4" s="27" t="s">
        <v>164</v>
      </c>
      <c r="D4">
        <v>10</v>
      </c>
      <c r="E4" t="s">
        <v>207</v>
      </c>
      <c r="F4">
        <f>COUNTIF(Table8[skill_id],Table412[[#This Row],[skill_id]])</f>
        <v>14</v>
      </c>
    </row>
    <row r="5" spans="1:6" x14ac:dyDescent="0.2">
      <c r="A5" s="13">
        <v>4</v>
      </c>
      <c r="B5" s="14" t="s">
        <v>52</v>
      </c>
      <c r="C5" s="27" t="s">
        <v>164</v>
      </c>
      <c r="D5">
        <v>10</v>
      </c>
      <c r="E5" t="s">
        <v>208</v>
      </c>
      <c r="F5">
        <f>COUNTIF(Table8[skill_id],Table412[[#This Row],[skill_id]])</f>
        <v>12</v>
      </c>
    </row>
    <row r="6" spans="1:6" x14ac:dyDescent="0.2">
      <c r="A6" s="11">
        <v>5</v>
      </c>
      <c r="B6" s="12" t="s">
        <v>45</v>
      </c>
      <c r="C6" s="27" t="s">
        <v>56</v>
      </c>
      <c r="D6">
        <v>8</v>
      </c>
      <c r="E6" t="s">
        <v>212</v>
      </c>
      <c r="F6">
        <f>COUNTIF(Table8[skill_id],Table412[[#This Row],[skill_id]])</f>
        <v>14</v>
      </c>
    </row>
    <row r="7" spans="1:6" x14ac:dyDescent="0.2">
      <c r="A7" s="13">
        <v>6</v>
      </c>
      <c r="B7" s="14" t="s">
        <v>46</v>
      </c>
      <c r="C7" s="28" t="s">
        <v>56</v>
      </c>
      <c r="D7">
        <v>7</v>
      </c>
      <c r="E7" t="s">
        <v>213</v>
      </c>
      <c r="F7">
        <f>COUNTIF(Table8[skill_id],Table412[[#This Row],[skill_id]])</f>
        <v>2</v>
      </c>
    </row>
    <row r="8" spans="1:6" x14ac:dyDescent="0.2">
      <c r="A8" s="11">
        <v>7</v>
      </c>
      <c r="B8" s="12" t="s">
        <v>47</v>
      </c>
      <c r="C8" s="27" t="s">
        <v>56</v>
      </c>
      <c r="D8">
        <v>9</v>
      </c>
      <c r="E8" t="s">
        <v>209</v>
      </c>
      <c r="F8">
        <f>COUNTIF(Table8[skill_id],Table412[[#This Row],[skill_id]])</f>
        <v>10</v>
      </c>
    </row>
    <row r="9" spans="1:6" x14ac:dyDescent="0.2">
      <c r="A9" s="13">
        <v>8</v>
      </c>
      <c r="B9" s="14" t="s">
        <v>68</v>
      </c>
      <c r="C9" s="27" t="s">
        <v>164</v>
      </c>
      <c r="D9">
        <v>7</v>
      </c>
      <c r="E9" t="s">
        <v>210</v>
      </c>
      <c r="F9">
        <f>COUNTIF(Table8[skill_id],Table412[[#This Row],[skill_id]])</f>
        <v>4</v>
      </c>
    </row>
    <row r="10" spans="1:6" x14ac:dyDescent="0.2">
      <c r="A10" s="11">
        <v>9</v>
      </c>
      <c r="B10" s="12" t="s">
        <v>48</v>
      </c>
      <c r="C10" s="27" t="s">
        <v>56</v>
      </c>
      <c r="D10">
        <v>8</v>
      </c>
      <c r="E10" t="s">
        <v>214</v>
      </c>
      <c r="F10">
        <f>COUNTIF(Table8[skill_id],Table412[[#This Row],[skill_id]])</f>
        <v>1</v>
      </c>
    </row>
    <row r="11" spans="1:6" x14ac:dyDescent="0.2">
      <c r="A11" s="13">
        <v>10</v>
      </c>
      <c r="B11" s="14" t="s">
        <v>49</v>
      </c>
      <c r="C11" s="27" t="s">
        <v>164</v>
      </c>
      <c r="D11">
        <v>9</v>
      </c>
      <c r="E11" t="s">
        <v>215</v>
      </c>
      <c r="F11">
        <f>COUNTIF(Table8[skill_id],Table412[[#This Row],[skill_id]])</f>
        <v>7</v>
      </c>
    </row>
    <row r="12" spans="1:6" x14ac:dyDescent="0.2">
      <c r="A12" s="16">
        <v>11</v>
      </c>
      <c r="B12" s="15" t="s">
        <v>66</v>
      </c>
      <c r="C12" s="27" t="s">
        <v>164</v>
      </c>
      <c r="D12">
        <v>6</v>
      </c>
      <c r="E12" t="s">
        <v>216</v>
      </c>
      <c r="F12">
        <f>COUNTIF(Table8[skill_id],Table412[[#This Row],[skill_id]])</f>
        <v>4</v>
      </c>
    </row>
    <row r="13" spans="1:6" x14ac:dyDescent="0.2">
      <c r="A13" s="17">
        <v>12</v>
      </c>
      <c r="B13" t="s">
        <v>50</v>
      </c>
      <c r="C13" s="27" t="s">
        <v>164</v>
      </c>
      <c r="D13">
        <v>8</v>
      </c>
      <c r="E13" t="s">
        <v>217</v>
      </c>
      <c r="F13">
        <f>COUNTIF(Table8[skill_id],Table412[[#This Row],[skill_id]])</f>
        <v>7</v>
      </c>
    </row>
    <row r="14" spans="1:6" x14ac:dyDescent="0.2">
      <c r="A14" s="16">
        <v>13</v>
      </c>
      <c r="B14" s="19" t="s">
        <v>171</v>
      </c>
      <c r="C14" s="27" t="s">
        <v>164</v>
      </c>
      <c r="D14">
        <v>7</v>
      </c>
      <c r="E14" t="s">
        <v>218</v>
      </c>
      <c r="F14">
        <f>COUNTIF(Table8[skill_id],Table412[[#This Row],[skill_id]])</f>
        <v>6</v>
      </c>
    </row>
    <row r="15" spans="1:6" x14ac:dyDescent="0.2">
      <c r="A15" s="17">
        <v>14</v>
      </c>
      <c r="B15" t="s">
        <v>166</v>
      </c>
      <c r="C15" s="28" t="s">
        <v>56</v>
      </c>
      <c r="D15">
        <v>6</v>
      </c>
      <c r="E15" t="s">
        <v>219</v>
      </c>
      <c r="F15">
        <f>COUNTIF(Table8[skill_id],Table412[[#This Row],[skill_id]])</f>
        <v>4</v>
      </c>
    </row>
    <row r="16" spans="1:6" x14ac:dyDescent="0.2">
      <c r="A16" s="16">
        <v>15</v>
      </c>
      <c r="B16" s="15" t="s">
        <v>67</v>
      </c>
      <c r="C16" s="28" t="s">
        <v>56</v>
      </c>
      <c r="D16">
        <v>10</v>
      </c>
      <c r="E16" t="s">
        <v>236</v>
      </c>
      <c r="F16">
        <f>COUNTIF(Table8[skill_id],Table412[[#This Row],[skill_id]])</f>
        <v>13</v>
      </c>
    </row>
    <row r="17" spans="1:6" x14ac:dyDescent="0.2">
      <c r="A17" s="13">
        <v>16</v>
      </c>
      <c r="B17" s="14" t="s">
        <v>70</v>
      </c>
      <c r="C17" s="28" t="s">
        <v>165</v>
      </c>
      <c r="D17">
        <v>10</v>
      </c>
      <c r="E17" t="s">
        <v>220</v>
      </c>
      <c r="F17">
        <f>COUNTIF(Table8[skill_id],Table412[[#This Row],[skill_id]])</f>
        <v>7</v>
      </c>
    </row>
    <row r="18" spans="1:6" x14ac:dyDescent="0.2">
      <c r="A18" s="13">
        <v>17</v>
      </c>
      <c r="B18" s="14" t="s">
        <v>108</v>
      </c>
      <c r="C18" s="28" t="s">
        <v>165</v>
      </c>
      <c r="D18">
        <v>9</v>
      </c>
      <c r="E18" t="s">
        <v>221</v>
      </c>
      <c r="F18">
        <f>COUNTIF(Table8[skill_id],Table412[[#This Row],[skill_id]])</f>
        <v>6</v>
      </c>
    </row>
    <row r="19" spans="1:6" x14ac:dyDescent="0.2">
      <c r="A19" s="13">
        <v>18</v>
      </c>
      <c r="B19" s="14" t="s">
        <v>109</v>
      </c>
      <c r="C19" s="28" t="s">
        <v>165</v>
      </c>
      <c r="D19">
        <v>8</v>
      </c>
      <c r="E19" t="s">
        <v>222</v>
      </c>
      <c r="F19">
        <f>COUNTIF(Table8[skill_id],Table412[[#This Row],[skill_id]])</f>
        <v>4</v>
      </c>
    </row>
    <row r="20" spans="1:6" x14ac:dyDescent="0.2">
      <c r="A20" s="13">
        <v>19</v>
      </c>
      <c r="B20" s="14" t="s">
        <v>111</v>
      </c>
      <c r="C20" s="28" t="s">
        <v>165</v>
      </c>
      <c r="D20">
        <v>8</v>
      </c>
      <c r="E20" t="s">
        <v>223</v>
      </c>
      <c r="F20">
        <f>COUNTIF(Table8[skill_id],Table412[[#This Row],[skill_id]])</f>
        <v>5</v>
      </c>
    </row>
    <row r="21" spans="1:6" x14ac:dyDescent="0.2">
      <c r="A21" s="13">
        <v>20</v>
      </c>
      <c r="B21" s="14" t="s">
        <v>110</v>
      </c>
      <c r="C21" s="28" t="s">
        <v>165</v>
      </c>
      <c r="D21">
        <v>7</v>
      </c>
      <c r="E21" t="s">
        <v>224</v>
      </c>
      <c r="F21">
        <f>COUNTIF(Table8[skill_id],Table412[[#This Row],[skill_id]])</f>
        <v>3</v>
      </c>
    </row>
    <row r="22" spans="1:6" x14ac:dyDescent="0.2">
      <c r="A22" s="18">
        <v>21</v>
      </c>
      <c r="B22" s="19" t="s">
        <v>71</v>
      </c>
      <c r="C22" s="28" t="s">
        <v>165</v>
      </c>
      <c r="D22">
        <v>6</v>
      </c>
      <c r="E22" t="s">
        <v>225</v>
      </c>
      <c r="F22">
        <f>COUNTIF(Table8[skill_id],Table412[[#This Row],[skill_id]])</f>
        <v>4</v>
      </c>
    </row>
    <row r="23" spans="1:6" x14ac:dyDescent="0.2">
      <c r="A23" s="18">
        <v>22</v>
      </c>
      <c r="B23" s="19" t="s">
        <v>170</v>
      </c>
      <c r="C23" s="27" t="s">
        <v>164</v>
      </c>
      <c r="D23">
        <v>8</v>
      </c>
      <c r="E23" t="s">
        <v>226</v>
      </c>
      <c r="F23">
        <f>COUNTIF(Table8[skill_id],Table412[[#This Row],[skill_id]])</f>
        <v>10</v>
      </c>
    </row>
    <row r="24" spans="1:6" x14ac:dyDescent="0.2">
      <c r="A24" s="18">
        <v>23</v>
      </c>
      <c r="B24" s="19" t="s">
        <v>173</v>
      </c>
      <c r="C24" s="28" t="s">
        <v>164</v>
      </c>
      <c r="D24">
        <v>7</v>
      </c>
      <c r="E24" t="s">
        <v>227</v>
      </c>
      <c r="F24">
        <f>COUNTIF(Table8[skill_id],Table412[[#This Row],[skill_id]])</f>
        <v>4</v>
      </c>
    </row>
    <row r="25" spans="1:6" x14ac:dyDescent="0.2">
      <c r="A25" s="18">
        <v>24</v>
      </c>
      <c r="B25" s="19" t="s">
        <v>268</v>
      </c>
      <c r="C25" s="30" t="s">
        <v>164</v>
      </c>
      <c r="D25">
        <v>6</v>
      </c>
      <c r="E25" t="s">
        <v>269</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100</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65"/>
  <sheetViews>
    <sheetView topLeftCell="A110" workbookViewId="0">
      <selection activeCell="H163" sqref="H163"/>
    </sheetView>
  </sheetViews>
  <sheetFormatPr baseColWidth="10" defaultColWidth="10.83203125" defaultRowHeight="16" x14ac:dyDescent="0.2"/>
  <cols>
    <col min="1" max="1" width="13.5" bestFit="1" customWidth="1"/>
    <col min="2" max="2" width="9.83203125" bestFit="1" customWidth="1"/>
  </cols>
  <sheetData>
    <row r="1" spans="1:2" x14ac:dyDescent="0.2">
      <c r="A1" t="s">
        <v>98</v>
      </c>
      <c r="B1" t="s">
        <v>100</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row r="157" spans="1:2" x14ac:dyDescent="0.2">
      <c r="A157">
        <v>14</v>
      </c>
      <c r="B157">
        <v>3</v>
      </c>
    </row>
    <row r="158" spans="1:2" x14ac:dyDescent="0.2">
      <c r="A158">
        <v>14</v>
      </c>
      <c r="B158">
        <v>4</v>
      </c>
    </row>
    <row r="159" spans="1:2" x14ac:dyDescent="0.2">
      <c r="A159">
        <v>14</v>
      </c>
      <c r="B159">
        <v>5</v>
      </c>
    </row>
    <row r="160" spans="1:2" x14ac:dyDescent="0.2">
      <c r="A160">
        <v>14</v>
      </c>
      <c r="B160">
        <v>7</v>
      </c>
    </row>
    <row r="161" spans="1:2" x14ac:dyDescent="0.2">
      <c r="A161">
        <v>14</v>
      </c>
      <c r="B161">
        <v>8</v>
      </c>
    </row>
    <row r="162" spans="1:2" x14ac:dyDescent="0.2">
      <c r="A162">
        <v>14</v>
      </c>
      <c r="B162">
        <v>11</v>
      </c>
    </row>
    <row r="163" spans="1:2" x14ac:dyDescent="0.2">
      <c r="A163">
        <v>14</v>
      </c>
      <c r="B163">
        <v>13</v>
      </c>
    </row>
    <row r="164" spans="1:2" x14ac:dyDescent="0.2">
      <c r="A164">
        <v>14</v>
      </c>
      <c r="B164">
        <v>14</v>
      </c>
    </row>
    <row r="165" spans="1:2" x14ac:dyDescent="0.2">
      <c r="A165">
        <v>14</v>
      </c>
      <c r="B165">
        <v>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topLeftCell="A4" workbookViewId="0">
      <selection activeCell="E23" sqref="E23"/>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103</v>
      </c>
      <c r="B1" t="s">
        <v>115</v>
      </c>
      <c r="C1" t="s">
        <v>101</v>
      </c>
      <c r="D1" t="s">
        <v>102</v>
      </c>
      <c r="E1" t="s">
        <v>97</v>
      </c>
      <c r="F1" s="9" t="s">
        <v>235</v>
      </c>
      <c r="G1" s="9"/>
      <c r="H1" s="9"/>
      <c r="I1" s="9"/>
      <c r="J1" s="9"/>
    </row>
    <row r="2" spans="1:10" x14ac:dyDescent="0.2">
      <c r="A2">
        <v>1</v>
      </c>
      <c r="B2" t="s">
        <v>34</v>
      </c>
      <c r="C2" t="s">
        <v>169</v>
      </c>
      <c r="D2">
        <v>5</v>
      </c>
      <c r="E2" t="s">
        <v>176</v>
      </c>
      <c r="F2">
        <f>COUNTIF(Table7[tool_id],Table4[[#This Row],[tool_id]])</f>
        <v>8</v>
      </c>
    </row>
    <row r="3" spans="1:10" x14ac:dyDescent="0.2">
      <c r="A3">
        <v>2</v>
      </c>
      <c r="B3" t="s">
        <v>33</v>
      </c>
      <c r="C3" t="s">
        <v>169</v>
      </c>
      <c r="D3">
        <v>4</v>
      </c>
      <c r="E3" t="s">
        <v>175</v>
      </c>
      <c r="F3">
        <f>COUNTIF(Table7[tool_id],Table4[[#This Row],[tool_id]])</f>
        <v>5</v>
      </c>
    </row>
    <row r="4" spans="1:10" x14ac:dyDescent="0.2">
      <c r="A4">
        <v>3</v>
      </c>
      <c r="B4" t="s">
        <v>157</v>
      </c>
      <c r="C4" t="s">
        <v>169</v>
      </c>
      <c r="D4">
        <v>3</v>
      </c>
      <c r="E4" t="s">
        <v>177</v>
      </c>
      <c r="F4">
        <f>COUNTIF(Table7[tool_id],Table4[[#This Row],[tool_id]])</f>
        <v>2</v>
      </c>
    </row>
    <row r="5" spans="1:10" x14ac:dyDescent="0.2">
      <c r="A5">
        <v>4</v>
      </c>
      <c r="B5" t="s">
        <v>167</v>
      </c>
      <c r="C5" t="s">
        <v>169</v>
      </c>
      <c r="D5">
        <v>3</v>
      </c>
      <c r="E5" t="s">
        <v>177</v>
      </c>
      <c r="F5">
        <f>COUNTIF(Table7[tool_id],Table4[[#This Row],[tool_id]])</f>
        <v>2</v>
      </c>
    </row>
    <row r="6" spans="1:10" hidden="1" x14ac:dyDescent="0.2">
      <c r="A6">
        <v>5</v>
      </c>
      <c r="B6" t="s">
        <v>35</v>
      </c>
      <c r="C6" t="s">
        <v>169</v>
      </c>
      <c r="D6">
        <v>3</v>
      </c>
      <c r="E6" t="s">
        <v>178</v>
      </c>
      <c r="F6">
        <f>COUNTIF(Table7[tool_id],Table4[[#This Row],[tool_id]])</f>
        <v>0</v>
      </c>
    </row>
    <row r="7" spans="1:10" hidden="1" x14ac:dyDescent="0.2">
      <c r="A7">
        <v>6</v>
      </c>
      <c r="B7" t="s">
        <v>36</v>
      </c>
      <c r="C7" t="s">
        <v>169</v>
      </c>
      <c r="D7">
        <v>2</v>
      </c>
      <c r="E7" t="s">
        <v>179</v>
      </c>
      <c r="F7">
        <f>COUNTIF(Table7[tool_id],Table4[[#This Row],[tool_id]])</f>
        <v>0</v>
      </c>
    </row>
    <row r="8" spans="1:10" hidden="1" x14ac:dyDescent="0.2">
      <c r="A8">
        <v>7</v>
      </c>
      <c r="B8" t="s">
        <v>37</v>
      </c>
      <c r="C8" t="s">
        <v>169</v>
      </c>
      <c r="D8">
        <v>1</v>
      </c>
      <c r="E8" t="s">
        <v>180</v>
      </c>
      <c r="F8">
        <f>COUNTIF(Table7[tool_id],Table4[[#This Row],[tool_id]])</f>
        <v>0</v>
      </c>
    </row>
    <row r="9" spans="1:10" hidden="1" x14ac:dyDescent="0.2">
      <c r="A9">
        <v>8</v>
      </c>
      <c r="B9" t="s">
        <v>72</v>
      </c>
      <c r="C9" t="s">
        <v>169</v>
      </c>
      <c r="D9">
        <v>1</v>
      </c>
      <c r="E9" t="s">
        <v>184</v>
      </c>
      <c r="F9">
        <f>COUNTIF(Table7[tool_id],Table4[[#This Row],[tool_id]])</f>
        <v>0</v>
      </c>
    </row>
    <row r="10" spans="1:10" hidden="1" x14ac:dyDescent="0.2">
      <c r="A10">
        <v>9</v>
      </c>
      <c r="B10" t="s">
        <v>38</v>
      </c>
      <c r="C10" t="s">
        <v>169</v>
      </c>
      <c r="D10">
        <v>1</v>
      </c>
      <c r="E10" t="s">
        <v>181</v>
      </c>
      <c r="F10">
        <f>COUNTIF(Table7[tool_id],Table4[[#This Row],[tool_id]])</f>
        <v>0</v>
      </c>
    </row>
    <row r="11" spans="1:10" x14ac:dyDescent="0.2">
      <c r="A11">
        <v>10</v>
      </c>
      <c r="B11" t="s">
        <v>51</v>
      </c>
      <c r="C11" t="s">
        <v>163</v>
      </c>
      <c r="D11">
        <v>2</v>
      </c>
      <c r="E11" t="s">
        <v>182</v>
      </c>
      <c r="F11">
        <f>COUNTIF(Table7[tool_id],Table4[[#This Row],[tool_id]])</f>
        <v>2</v>
      </c>
    </row>
    <row r="12" spans="1:10" x14ac:dyDescent="0.2">
      <c r="A12">
        <v>11</v>
      </c>
      <c r="B12" t="s">
        <v>73</v>
      </c>
      <c r="C12" t="s">
        <v>163</v>
      </c>
      <c r="D12">
        <v>2</v>
      </c>
      <c r="E12" t="s">
        <v>183</v>
      </c>
      <c r="F12">
        <f>COUNTIF(Table7[tool_id],Table4[[#This Row],[tool_id]])</f>
        <v>2</v>
      </c>
    </row>
    <row r="13" spans="1:10" x14ac:dyDescent="0.2">
      <c r="A13">
        <v>12</v>
      </c>
      <c r="B13" t="s">
        <v>272</v>
      </c>
      <c r="C13" t="s">
        <v>168</v>
      </c>
      <c r="D13">
        <v>5</v>
      </c>
      <c r="E13" t="s">
        <v>185</v>
      </c>
      <c r="F13">
        <f>COUNTIF(Table7[tool_id],Table4[[#This Row],[tool_id]])</f>
        <v>14</v>
      </c>
    </row>
    <row r="14" spans="1:10" x14ac:dyDescent="0.2">
      <c r="A14">
        <v>13</v>
      </c>
      <c r="B14" t="s">
        <v>39</v>
      </c>
      <c r="C14" t="s">
        <v>169</v>
      </c>
      <c r="D14">
        <v>4</v>
      </c>
      <c r="E14" t="s">
        <v>295</v>
      </c>
      <c r="F14">
        <f>COUNTIF(Table7[tool_id],Table4[[#This Row],[tool_id]])</f>
        <v>8</v>
      </c>
    </row>
    <row r="15" spans="1:10" hidden="1" x14ac:dyDescent="0.2">
      <c r="A15">
        <v>14</v>
      </c>
      <c r="B15" t="s">
        <v>74</v>
      </c>
      <c r="C15" t="s">
        <v>75</v>
      </c>
      <c r="D15">
        <v>3</v>
      </c>
      <c r="E15" t="s">
        <v>188</v>
      </c>
      <c r="F15">
        <f>COUNTIF(Table7[tool_id],Table4[[#This Row],[tool_id]])</f>
        <v>0</v>
      </c>
    </row>
    <row r="16" spans="1:10" hidden="1" x14ac:dyDescent="0.2">
      <c r="A16">
        <v>15</v>
      </c>
      <c r="B16" t="s">
        <v>76</v>
      </c>
      <c r="C16" t="s">
        <v>75</v>
      </c>
      <c r="D16">
        <v>1</v>
      </c>
      <c r="E16" t="s">
        <v>188</v>
      </c>
      <c r="F16">
        <f>COUNTIF(Table7[tool_id],Table4[[#This Row],[tool_id]])</f>
        <v>0</v>
      </c>
    </row>
    <row r="17" spans="1:6" hidden="1" x14ac:dyDescent="0.2">
      <c r="A17">
        <v>16</v>
      </c>
      <c r="B17" t="s">
        <v>55</v>
      </c>
      <c r="C17" t="s">
        <v>75</v>
      </c>
      <c r="D17">
        <v>3</v>
      </c>
      <c r="E17" t="s">
        <v>189</v>
      </c>
      <c r="F17">
        <f>COUNTIF(Table7[tool_id],Table4[[#This Row],[tool_id]])</f>
        <v>0</v>
      </c>
    </row>
    <row r="18" spans="1:6" x14ac:dyDescent="0.2">
      <c r="A18">
        <v>17</v>
      </c>
      <c r="B18" t="s">
        <v>40</v>
      </c>
      <c r="C18" t="s">
        <v>169</v>
      </c>
      <c r="D18">
        <v>3</v>
      </c>
      <c r="E18" t="s">
        <v>190</v>
      </c>
      <c r="F18">
        <f>COUNTIF(Table7[tool_id],Table4[[#This Row],[tool_id]])</f>
        <v>2</v>
      </c>
    </row>
    <row r="19" spans="1:6" x14ac:dyDescent="0.2">
      <c r="A19">
        <v>18</v>
      </c>
      <c r="B19" t="s">
        <v>294</v>
      </c>
      <c r="C19" t="s">
        <v>168</v>
      </c>
      <c r="D19">
        <v>4</v>
      </c>
      <c r="E19" t="s">
        <v>296</v>
      </c>
      <c r="F19">
        <f>COUNTIF(Table7[tool_id],Table4[[#This Row],[tool_id]])</f>
        <v>9</v>
      </c>
    </row>
    <row r="20" spans="1:6" hidden="1" x14ac:dyDescent="0.2">
      <c r="A20">
        <v>19</v>
      </c>
      <c r="B20" t="s">
        <v>53</v>
      </c>
      <c r="C20" t="s">
        <v>168</v>
      </c>
      <c r="D20">
        <v>3</v>
      </c>
      <c r="E20" t="s">
        <v>194</v>
      </c>
      <c r="F20">
        <f>COUNTIF(Table7[tool_id],Table4[[#This Row],[tool_id]])</f>
        <v>0</v>
      </c>
    </row>
    <row r="21" spans="1:6" hidden="1" x14ac:dyDescent="0.2">
      <c r="A21">
        <v>20</v>
      </c>
      <c r="B21" t="s">
        <v>54</v>
      </c>
      <c r="C21" t="s">
        <v>168</v>
      </c>
      <c r="D21">
        <v>3</v>
      </c>
      <c r="E21" t="s">
        <v>193</v>
      </c>
      <c r="F21">
        <f>COUNTIF(Table7[tool_id],Table4[[#This Row],[tool_id]])</f>
        <v>0</v>
      </c>
    </row>
    <row r="22" spans="1:6" x14ac:dyDescent="0.2">
      <c r="A22">
        <v>21</v>
      </c>
      <c r="B22" s="15" t="s">
        <v>85</v>
      </c>
      <c r="C22" s="12" t="s">
        <v>78</v>
      </c>
      <c r="D22">
        <v>5</v>
      </c>
      <c r="E22" t="s">
        <v>195</v>
      </c>
      <c r="F22">
        <f>COUNTIF(Table7[tool_id],Table4[[#This Row],[tool_id]])</f>
        <v>4</v>
      </c>
    </row>
    <row r="23" spans="1:6" x14ac:dyDescent="0.2">
      <c r="A23">
        <v>22</v>
      </c>
      <c r="B23" t="s">
        <v>77</v>
      </c>
      <c r="C23" t="s">
        <v>78</v>
      </c>
      <c r="D23">
        <v>4</v>
      </c>
      <c r="E23" t="s">
        <v>297</v>
      </c>
      <c r="F23">
        <f>COUNTIF(Table7[tool_id],Table4[[#This Row],[tool_id]])</f>
        <v>2</v>
      </c>
    </row>
    <row r="24" spans="1:6" x14ac:dyDescent="0.2">
      <c r="A24">
        <v>23</v>
      </c>
      <c r="B24" t="s">
        <v>79</v>
      </c>
      <c r="C24" t="s">
        <v>78</v>
      </c>
      <c r="D24">
        <v>2</v>
      </c>
      <c r="E24" t="s">
        <v>196</v>
      </c>
      <c r="F24">
        <f>COUNTIF(Table7[tool_id],Table4[[#This Row],[tool_id]])</f>
        <v>2</v>
      </c>
    </row>
    <row r="25" spans="1:6" x14ac:dyDescent="0.2">
      <c r="A25">
        <v>24</v>
      </c>
      <c r="B25" t="s">
        <v>80</v>
      </c>
      <c r="C25" t="s">
        <v>78</v>
      </c>
      <c r="D25">
        <v>3</v>
      </c>
      <c r="E25" t="s">
        <v>197</v>
      </c>
      <c r="F25">
        <f>COUNTIF(Table7[tool_id],Table4[[#This Row],[tool_id]])</f>
        <v>4</v>
      </c>
    </row>
    <row r="26" spans="1:6" x14ac:dyDescent="0.2">
      <c r="A26">
        <v>25</v>
      </c>
      <c r="B26" t="s">
        <v>200</v>
      </c>
      <c r="C26" t="s">
        <v>78</v>
      </c>
      <c r="D26">
        <v>5</v>
      </c>
      <c r="E26" t="s">
        <v>198</v>
      </c>
      <c r="F26">
        <f>COUNTIF(Table7[tool_id],Table4[[#This Row],[tool_id]])</f>
        <v>2</v>
      </c>
    </row>
    <row r="27" spans="1:6" x14ac:dyDescent="0.2">
      <c r="A27">
        <v>26</v>
      </c>
      <c r="B27" t="s">
        <v>199</v>
      </c>
      <c r="C27" t="s">
        <v>78</v>
      </c>
      <c r="D27">
        <v>5</v>
      </c>
      <c r="E27" t="s">
        <v>201</v>
      </c>
      <c r="F27">
        <f>COUNTIF(Table7[tool_id],Table4[[#This Row],[tool_id]])</f>
        <v>2</v>
      </c>
    </row>
    <row r="28" spans="1:6" x14ac:dyDescent="0.2">
      <c r="A28">
        <v>27</v>
      </c>
      <c r="B28" t="s">
        <v>81</v>
      </c>
      <c r="C28" t="s">
        <v>78</v>
      </c>
      <c r="D28">
        <v>3</v>
      </c>
      <c r="E28" t="s">
        <v>202</v>
      </c>
      <c r="F28">
        <f>COUNTIF(Table7[tool_id],Table4[[#This Row],[tool_id]])</f>
        <v>2</v>
      </c>
    </row>
    <row r="29" spans="1:6" x14ac:dyDescent="0.2">
      <c r="A29">
        <v>28</v>
      </c>
      <c r="B29" t="s">
        <v>82</v>
      </c>
      <c r="C29" t="s">
        <v>78</v>
      </c>
      <c r="D29">
        <v>3</v>
      </c>
      <c r="E29" t="s">
        <v>203</v>
      </c>
      <c r="F29">
        <f>COUNTIF(Table7[tool_id],Table4[[#This Row],[tool_id]])</f>
        <v>4</v>
      </c>
    </row>
    <row r="30" spans="1:6" x14ac:dyDescent="0.2">
      <c r="A30">
        <v>29</v>
      </c>
      <c r="B30" t="s">
        <v>116</v>
      </c>
      <c r="C30" t="s">
        <v>78</v>
      </c>
      <c r="D30">
        <v>4</v>
      </c>
      <c r="E30" t="s">
        <v>204</v>
      </c>
      <c r="F30">
        <f>COUNTIF(Table7[tool_id],Table4[[#This Row],[tool_id]])</f>
        <v>6</v>
      </c>
    </row>
    <row r="31" spans="1:6" x14ac:dyDescent="0.2">
      <c r="A31">
        <v>30</v>
      </c>
      <c r="B31" s="15" t="s">
        <v>84</v>
      </c>
      <c r="C31" s="14" t="s">
        <v>78</v>
      </c>
      <c r="D31">
        <v>4</v>
      </c>
      <c r="E31" t="s">
        <v>205</v>
      </c>
      <c r="F31">
        <f>COUNTIF(Table7[tool_id],Table4[[#This Row],[tool_id]])</f>
        <v>4</v>
      </c>
    </row>
    <row r="32" spans="1:6" x14ac:dyDescent="0.2">
      <c r="A32">
        <v>31</v>
      </c>
      <c r="B32" t="s">
        <v>271</v>
      </c>
      <c r="C32" t="s">
        <v>168</v>
      </c>
      <c r="D32">
        <v>5</v>
      </c>
      <c r="E32" t="s">
        <v>186</v>
      </c>
      <c r="F32">
        <f>COUNTIF(Table7[tool_id],Table4[[#This Row],[tool_id]])</f>
        <v>14</v>
      </c>
    </row>
    <row r="33" spans="1:6" x14ac:dyDescent="0.2">
      <c r="A33">
        <v>32</v>
      </c>
      <c r="B33" t="s">
        <v>270</v>
      </c>
      <c r="C33" t="s">
        <v>168</v>
      </c>
      <c r="D33">
        <v>5</v>
      </c>
      <c r="E33" t="s">
        <v>187</v>
      </c>
      <c r="F33">
        <f>COUNTIF(Table7[tool_id],Table4[[#This Row],[tool_id]])</f>
        <v>6</v>
      </c>
    </row>
    <row r="34" spans="1:6" x14ac:dyDescent="0.2">
      <c r="A34">
        <v>33</v>
      </c>
      <c r="B34" t="s">
        <v>172</v>
      </c>
      <c r="C34" t="s">
        <v>168</v>
      </c>
      <c r="D34">
        <v>3</v>
      </c>
      <c r="E34" t="s">
        <v>191</v>
      </c>
      <c r="F34">
        <f>COUNTIF(Table7[tool_id],Table4[[#This Row],[tool_id]])</f>
        <v>1</v>
      </c>
    </row>
    <row r="35" spans="1:6" x14ac:dyDescent="0.2">
      <c r="A35">
        <v>34</v>
      </c>
      <c r="B35" t="s">
        <v>174</v>
      </c>
      <c r="C35" t="s">
        <v>168</v>
      </c>
      <c r="D35">
        <v>4</v>
      </c>
      <c r="E35" t="s">
        <v>192</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103</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98</v>
      </c>
      <c r="B1" t="s">
        <v>103</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2026-07-31T12:45:13Z</dcterms:modified>
</cp:coreProperties>
</file>